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esternskiescontracting-my.sharepoint.com/personal/rowin12_westernskiescontracting_onmicrosoft_com/Documents/"/>
    </mc:Choice>
  </mc:AlternateContent>
  <xr:revisionPtr revIDLastSave="0" documentId="8_{13C7886B-90FA-4897-98FD-AE2EEA2A280D}" xr6:coauthVersionLast="47" xr6:coauthVersionMax="47" xr10:uidLastSave="{00000000-0000-0000-0000-000000000000}"/>
  <bookViews>
    <workbookView xWindow="-108" yWindow="-108" windowWidth="23256" windowHeight="12456" activeTab="3" xr2:uid="{C58657A2-7658-46A0-908B-E1F4735F7C5C}"/>
  </bookViews>
  <sheets>
    <sheet name="Project Builder" sheetId="1" r:id="rId1"/>
    <sheet name="Jobsite Material List" sheetId="3" r:id="rId2"/>
    <sheet name="Order List" sheetId="6" r:id="rId3"/>
    <sheet name="Income and Expense" sheetId="7" r:id="rId4"/>
    <sheet name="Other $" sheetId="8" r:id="rId5"/>
    <sheet name="Product $" sheetId="2" r:id="rId6"/>
    <sheet name="MASSA $" sheetId="4" r:id="rId7"/>
    <sheet name="Order List (2)" sheetId="9" r:id="rId8"/>
  </sheets>
  <definedNames>
    <definedName name="_xlnm._FilterDatabase" localSheetId="0" hidden="1">'Project Builder'!$E$6:$E$19</definedName>
    <definedName name="_xlnm.Extract" localSheetId="0">'Project Builder'!#REF!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7" l="1"/>
  <c r="G17" i="7"/>
  <c r="G24" i="7"/>
  <c r="H24" i="7"/>
  <c r="H17" i="7"/>
  <c r="H12" i="7"/>
  <c r="G12" i="7"/>
  <c r="D21" i="7"/>
  <c r="C30" i="7"/>
  <c r="H7" i="1"/>
  <c r="H5" i="1"/>
  <c r="H6" i="1"/>
  <c r="F8" i="1"/>
  <c r="H8" i="1" s="1"/>
  <c r="H4" i="1"/>
  <c r="F26" i="8"/>
  <c r="D30" i="8"/>
  <c r="D29" i="8"/>
  <c r="D28" i="8"/>
  <c r="D27" i="8"/>
  <c r="D26" i="8"/>
  <c r="D25" i="8"/>
  <c r="F25" i="8"/>
  <c r="C27" i="8"/>
  <c r="C26" i="8"/>
  <c r="C25" i="8"/>
  <c r="C139" i="2"/>
  <c r="C140" i="2" s="1"/>
  <c r="C137" i="2"/>
  <c r="C138" i="2" s="1"/>
  <c r="C135" i="2"/>
  <c r="C136" i="2" s="1"/>
  <c r="C134" i="2"/>
  <c r="C133" i="2"/>
  <c r="C128" i="2"/>
  <c r="C127" i="2"/>
  <c r="C95" i="2"/>
  <c r="C94" i="2"/>
  <c r="C93" i="2"/>
  <c r="C92" i="2"/>
  <c r="C91" i="2"/>
  <c r="C90" i="2"/>
  <c r="C89" i="2"/>
  <c r="C88" i="2"/>
  <c r="C87" i="2"/>
  <c r="C86" i="2"/>
  <c r="C85" i="2"/>
  <c r="C84" i="2"/>
  <c r="C51" i="2"/>
  <c r="C38" i="7"/>
  <c r="C21" i="7"/>
  <c r="B5" i="3" l="1"/>
  <c r="C170" i="9"/>
  <c r="A170" i="9"/>
  <c r="C169" i="9"/>
  <c r="A169" i="9"/>
  <c r="C168" i="9"/>
  <c r="A168" i="9"/>
  <c r="C167" i="9"/>
  <c r="A167" i="9"/>
  <c r="C166" i="9"/>
  <c r="A166" i="9"/>
  <c r="C165" i="9"/>
  <c r="A165" i="9"/>
  <c r="C164" i="9"/>
  <c r="A164" i="9"/>
  <c r="C163" i="9"/>
  <c r="A163" i="9"/>
  <c r="C162" i="9"/>
  <c r="A162" i="9"/>
  <c r="C161" i="9"/>
  <c r="A161" i="9"/>
  <c r="C27" i="7"/>
  <c r="D31" i="7"/>
  <c r="H10" i="7"/>
  <c r="H8" i="7"/>
  <c r="D42" i="7"/>
  <c r="G10" i="7"/>
  <c r="D37" i="7"/>
  <c r="D19" i="7"/>
  <c r="H9" i="7" s="1"/>
  <c r="D6" i="7"/>
  <c r="F17" i="1"/>
  <c r="C13" i="7"/>
  <c r="C41" i="7"/>
  <c r="C40" i="7"/>
  <c r="C39" i="7"/>
  <c r="C36" i="7"/>
  <c r="C35" i="7"/>
  <c r="C34" i="7"/>
  <c r="C33" i="7"/>
  <c r="C32" i="7"/>
  <c r="C29" i="7"/>
  <c r="C28" i="7"/>
  <c r="C14" i="7"/>
  <c r="C11" i="7"/>
  <c r="C12" i="7"/>
  <c r="C15" i="7"/>
  <c r="C16" i="7"/>
  <c r="C17" i="7"/>
  <c r="C31" i="7" l="1"/>
  <c r="G8" i="7"/>
  <c r="C26" i="7"/>
  <c r="C37" i="7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83" i="2"/>
  <c r="C82" i="2"/>
  <c r="C81" i="2"/>
  <c r="C80" i="2"/>
  <c r="C79" i="2"/>
  <c r="C78" i="2"/>
  <c r="C77" i="2"/>
  <c r="C69" i="2"/>
  <c r="C68" i="2"/>
  <c r="C67" i="2"/>
  <c r="C66" i="2"/>
  <c r="C65" i="2"/>
  <c r="C64" i="2"/>
  <c r="C63" i="2"/>
  <c r="C55" i="2"/>
  <c r="C54" i="2"/>
  <c r="C53" i="2"/>
  <c r="C52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170" i="6"/>
  <c r="A170" i="6"/>
  <c r="C169" i="6"/>
  <c r="A169" i="6"/>
  <c r="C168" i="6"/>
  <c r="A168" i="6"/>
  <c r="C167" i="6"/>
  <c r="A167" i="6"/>
  <c r="C166" i="6"/>
  <c r="A166" i="6"/>
  <c r="C165" i="6"/>
  <c r="A165" i="6"/>
  <c r="C164" i="6"/>
  <c r="A164" i="6"/>
  <c r="C163" i="6"/>
  <c r="A163" i="6"/>
  <c r="C162" i="6"/>
  <c r="A162" i="6"/>
  <c r="C161" i="6"/>
  <c r="A161" i="6"/>
  <c r="C45" i="3"/>
  <c r="B45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C40" i="3"/>
  <c r="B40" i="3"/>
  <c r="A40" i="3"/>
  <c r="C39" i="3"/>
  <c r="B39" i="3"/>
  <c r="A39" i="3"/>
  <c r="C38" i="3"/>
  <c r="B38" i="3"/>
  <c r="A38" i="3"/>
  <c r="C37" i="3"/>
  <c r="B37" i="3"/>
  <c r="A37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C10" i="3"/>
  <c r="B10" i="3"/>
  <c r="A10" i="3"/>
  <c r="C9" i="3"/>
  <c r="B9" i="3"/>
  <c r="A9" i="3"/>
  <c r="C8" i="3"/>
  <c r="B8" i="3"/>
  <c r="A8" i="3"/>
  <c r="C7" i="3"/>
  <c r="B7" i="3"/>
  <c r="A7" i="3"/>
  <c r="C6" i="3"/>
  <c r="B6" i="3"/>
  <c r="A6" i="3"/>
  <c r="C5" i="3"/>
  <c r="A5" i="3"/>
  <c r="C4" i="3"/>
  <c r="B4" i="3"/>
  <c r="A4" i="3"/>
  <c r="C3" i="3"/>
  <c r="B3" i="3"/>
  <c r="A3" i="3"/>
  <c r="C2" i="3"/>
  <c r="B2" i="3"/>
  <c r="A2" i="3"/>
  <c r="F53" i="1"/>
  <c r="H53" i="1" s="1"/>
  <c r="F52" i="1"/>
  <c r="H52" i="1" s="1"/>
  <c r="F51" i="1"/>
  <c r="H51" i="1" s="1"/>
  <c r="F50" i="1"/>
  <c r="H50" i="1" s="1"/>
  <c r="F49" i="1"/>
  <c r="H49" i="1" s="1"/>
  <c r="F48" i="1"/>
  <c r="H48" i="1" s="1"/>
  <c r="F47" i="1"/>
  <c r="H47" i="1" s="1"/>
  <c r="F46" i="1"/>
  <c r="H46" i="1" s="1"/>
  <c r="F45" i="1"/>
  <c r="H45" i="1" s="1"/>
  <c r="F44" i="1"/>
  <c r="H44" i="1" s="1"/>
  <c r="F43" i="1"/>
  <c r="H43" i="1" s="1"/>
  <c r="F42" i="1"/>
  <c r="H42" i="1" s="1"/>
  <c r="F41" i="1"/>
  <c r="H41" i="1" s="1"/>
  <c r="F40" i="1"/>
  <c r="H40" i="1" s="1"/>
  <c r="F39" i="1"/>
  <c r="H39" i="1" s="1"/>
  <c r="F38" i="1"/>
  <c r="H38" i="1" s="1"/>
  <c r="F37" i="1"/>
  <c r="H37" i="1" s="1"/>
  <c r="F36" i="1"/>
  <c r="H36" i="1" s="1"/>
  <c r="F35" i="1"/>
  <c r="H35" i="1" s="1"/>
  <c r="F34" i="1"/>
  <c r="H34" i="1" s="1"/>
  <c r="F33" i="1"/>
  <c r="H33" i="1" s="1"/>
  <c r="F32" i="1"/>
  <c r="H32" i="1" s="1"/>
  <c r="F31" i="1"/>
  <c r="H31" i="1" s="1"/>
  <c r="F30" i="1"/>
  <c r="H30" i="1" s="1"/>
  <c r="F29" i="1"/>
  <c r="H29" i="1" s="1"/>
  <c r="F28" i="1"/>
  <c r="H28" i="1" s="1"/>
  <c r="F27" i="1"/>
  <c r="H27" i="1" s="1"/>
  <c r="F26" i="1"/>
  <c r="H26" i="1" s="1"/>
  <c r="F25" i="1"/>
  <c r="H25" i="1" s="1"/>
  <c r="F24" i="1"/>
  <c r="H24" i="1" s="1"/>
  <c r="F23" i="1"/>
  <c r="H23" i="1" s="1"/>
  <c r="F22" i="1"/>
  <c r="H22" i="1" s="1"/>
  <c r="F21" i="1"/>
  <c r="H21" i="1" s="1"/>
  <c r="F20" i="1"/>
  <c r="H20" i="1" s="1"/>
  <c r="F19" i="1"/>
  <c r="H19" i="1" s="1"/>
  <c r="F18" i="1"/>
  <c r="H18" i="1" s="1"/>
  <c r="H17" i="1"/>
  <c r="F16" i="1"/>
  <c r="H16" i="1" s="1"/>
  <c r="F15" i="1"/>
  <c r="H15" i="1" s="1"/>
  <c r="F14" i="1"/>
  <c r="H14" i="1" s="1"/>
  <c r="F13" i="1"/>
  <c r="H13" i="1" s="1"/>
  <c r="F12" i="1"/>
  <c r="H12" i="1" s="1"/>
  <c r="F11" i="1"/>
  <c r="H11" i="1" s="1"/>
  <c r="F10" i="1"/>
  <c r="H10" i="1" s="1"/>
  <c r="F9" i="1"/>
  <c r="H9" i="1" s="1"/>
  <c r="H3" i="1"/>
  <c r="K3" i="1" l="1"/>
  <c r="C7" i="7" s="1"/>
  <c r="C19" i="7" l="1"/>
  <c r="C42" i="7" s="1"/>
  <c r="K5" i="1"/>
  <c r="C6" i="7" l="1"/>
  <c r="C45" i="7" s="1"/>
  <c r="G6" i="7" s="1"/>
  <c r="G11" i="7" l="1"/>
  <c r="C43" i="7"/>
  <c r="G19" i="7" l="1"/>
  <c r="G25" i="7"/>
  <c r="G18" i="7" l="1"/>
  <c r="G20" i="7"/>
  <c r="G21" i="7" s="1"/>
  <c r="G27" i="7"/>
  <c r="G28" i="7" s="1"/>
  <c r="G26" i="7"/>
  <c r="D43" i="7"/>
  <c r="H6" i="7"/>
  <c r="H11" i="7" s="1"/>
  <c r="H27" i="7" l="1"/>
  <c r="H28" i="7" s="1"/>
  <c r="H25" i="7"/>
  <c r="H26" i="7"/>
  <c r="H19" i="7"/>
  <c r="H20" i="7"/>
  <c r="H21" i="7" s="1"/>
  <c r="H18" i="7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<sst xmlns="http://schemas.openxmlformats.org/spreadsheetml/2006/main" count="750" uniqueCount="546">
  <si>
    <t>Description</t>
  </si>
  <si>
    <t>Item</t>
  </si>
  <si>
    <t>Price</t>
  </si>
  <si>
    <t>Qtd</t>
  </si>
  <si>
    <t>Total</t>
  </si>
  <si>
    <t>Material list</t>
  </si>
  <si>
    <t>Type</t>
  </si>
  <si>
    <t>Price List</t>
  </si>
  <si>
    <t>2x4x12</t>
  </si>
  <si>
    <t>Labor</t>
  </si>
  <si>
    <t>2x4x10</t>
  </si>
  <si>
    <t>2x6x8</t>
  </si>
  <si>
    <t>2x4x8</t>
  </si>
  <si>
    <t>2x12x8</t>
  </si>
  <si>
    <t>2x6x12</t>
  </si>
  <si>
    <t>5 1/2"x50' Sill Seal</t>
  </si>
  <si>
    <t>2x6x92 5/8"</t>
  </si>
  <si>
    <t>2x6x104 5/8"</t>
  </si>
  <si>
    <t xml:space="preserve">2x6x10 </t>
  </si>
  <si>
    <t>2x6x14</t>
  </si>
  <si>
    <t xml:space="preserve">2x6x16 </t>
  </si>
  <si>
    <t xml:space="preserve">2x6x18 </t>
  </si>
  <si>
    <t xml:space="preserve">2x6x20 </t>
  </si>
  <si>
    <t>9'x150' House Wrap</t>
  </si>
  <si>
    <t>2x12x10</t>
  </si>
  <si>
    <t>2x12x12</t>
  </si>
  <si>
    <t>2x12x16</t>
  </si>
  <si>
    <t>1 3/4"x9 1/2" LVL</t>
  </si>
  <si>
    <t xml:space="preserve">1 3/4"x11 7/8" LVL  </t>
  </si>
  <si>
    <t>1 3/4"x14" LVL</t>
  </si>
  <si>
    <t>1 3/4"x16" LVL</t>
  </si>
  <si>
    <t>2x4x92 5/8"</t>
  </si>
  <si>
    <t>2x4x104 5/8"</t>
  </si>
  <si>
    <t>2x4x16</t>
  </si>
  <si>
    <t>2x4x20</t>
  </si>
  <si>
    <t>Bd. Ft.</t>
  </si>
  <si>
    <t>Each</t>
  </si>
  <si>
    <t>2 X 6</t>
  </si>
  <si>
    <t>2 X 8</t>
  </si>
  <si>
    <t>2 X 10</t>
  </si>
  <si>
    <t>2x12</t>
  </si>
  <si>
    <t>Sheeting</t>
  </si>
  <si>
    <t>Studs</t>
  </si>
  <si>
    <t>x 92</t>
  </si>
  <si>
    <t>x 8</t>
  </si>
  <si>
    <t>3/8 CDX</t>
  </si>
  <si>
    <t>x 104</t>
  </si>
  <si>
    <t>x 10</t>
  </si>
  <si>
    <t>1/2 CDX</t>
  </si>
  <si>
    <t>CALL</t>
  </si>
  <si>
    <t>x116</t>
  </si>
  <si>
    <t>x 12</t>
  </si>
  <si>
    <t>5/8 CDX</t>
  </si>
  <si>
    <t>x 14</t>
  </si>
  <si>
    <t>3/4 CDX</t>
  </si>
  <si>
    <t>x 16</t>
  </si>
  <si>
    <t>3/4 T&amp;G Ply</t>
  </si>
  <si>
    <t>x 18</t>
  </si>
  <si>
    <t>7/16 OSB</t>
  </si>
  <si>
    <t>x 20</t>
  </si>
  <si>
    <t>15/32 OSB</t>
  </si>
  <si>
    <t>19/32 OSB</t>
  </si>
  <si>
    <t>3/4 T&amp;G OSB Edge</t>
  </si>
  <si>
    <t>3/4 TG Edge Gold</t>
  </si>
  <si>
    <t>7/16 OSB 4'X9'</t>
  </si>
  <si>
    <t>LF</t>
  </si>
  <si>
    <t>Felt / Roofing</t>
  </si>
  <si>
    <t>Insulation</t>
  </si>
  <si>
    <t>Sq. Ft.</t>
  </si>
  <si>
    <t>Sheetrock</t>
  </si>
  <si>
    <t>Particle Board</t>
  </si>
  <si>
    <t>LVL</t>
  </si>
  <si>
    <t>30# Felt</t>
  </si>
  <si>
    <t>12' F-Channel</t>
  </si>
  <si>
    <t>3 1/2" Kraft R11</t>
  </si>
  <si>
    <t>1/2 x 12'</t>
  </si>
  <si>
    <t>3/8"</t>
  </si>
  <si>
    <t>9 1/2"</t>
  </si>
  <si>
    <t>Ice &amp; Water Shield</t>
  </si>
  <si>
    <t>12' J-Channel</t>
  </si>
  <si>
    <t>3 1/2" Kraft R13</t>
  </si>
  <si>
    <t>5/8 x 12'</t>
  </si>
  <si>
    <t>1/2"</t>
  </si>
  <si>
    <t>11 7/8"</t>
  </si>
  <si>
    <t>TUL 10SQ UDL</t>
  </si>
  <si>
    <t>10' D-Metal</t>
  </si>
  <si>
    <t>6 1/4" Kraft R19</t>
  </si>
  <si>
    <t>1/2 x 8'</t>
  </si>
  <si>
    <t>5/8"</t>
  </si>
  <si>
    <t>14"</t>
  </si>
  <si>
    <t>GAF TigerPaw 10SQ</t>
  </si>
  <si>
    <t>16"x12' Soffit</t>
  </si>
  <si>
    <t>5 1/2" Kraft R21</t>
  </si>
  <si>
    <t>5/8 x 8'</t>
  </si>
  <si>
    <t>3/4"</t>
  </si>
  <si>
    <t>16"</t>
  </si>
  <si>
    <t>Spl Ordr</t>
  </si>
  <si>
    <t>GAF High Definition</t>
  </si>
  <si>
    <t>6"x12' Steel Fascia</t>
  </si>
  <si>
    <t>5 1/2" Unfaced R21</t>
  </si>
  <si>
    <t>1/2 X 8' Water</t>
  </si>
  <si>
    <t>1/2 HD</t>
  </si>
  <si>
    <t>18"</t>
  </si>
  <si>
    <t>Malarkey Highlander</t>
  </si>
  <si>
    <t>10" Kraft R30</t>
  </si>
  <si>
    <t>Add $2.50/ea for stocking</t>
  </si>
  <si>
    <t>3/4 HD</t>
  </si>
  <si>
    <t>Add $5.00/[] for Boom Truck</t>
  </si>
  <si>
    <t>12" Kraft R38</t>
  </si>
  <si>
    <t>Lap &amp; Soffit OSB</t>
  </si>
  <si>
    <t>LP Trim</t>
  </si>
  <si>
    <t>Pine</t>
  </si>
  <si>
    <t>Cedar</t>
  </si>
  <si>
    <t>6" x 12'</t>
  </si>
  <si>
    <t>4/4 x 2 x16</t>
  </si>
  <si>
    <t>1 x 4 #2 Pine</t>
  </si>
  <si>
    <t>1 x 4</t>
  </si>
  <si>
    <t>5-1/2"</t>
  </si>
  <si>
    <t>3/8 x 8" x 16'</t>
  </si>
  <si>
    <t>8" x 12'</t>
  </si>
  <si>
    <t>19/32 x 3 x 16</t>
  </si>
  <si>
    <t>1 x 6 #2 Pine</t>
  </si>
  <si>
    <t>1 x 6</t>
  </si>
  <si>
    <t>7-1/2"</t>
  </si>
  <si>
    <t>3/8 x 12" x 16'</t>
  </si>
  <si>
    <t>4/4 x 4 x 16</t>
  </si>
  <si>
    <t>1 x 8 #2 Pine</t>
  </si>
  <si>
    <t>1 x 8</t>
  </si>
  <si>
    <t>9"</t>
  </si>
  <si>
    <t>3/8"x16"x16' Vented</t>
  </si>
  <si>
    <t>4/4 x 6 x 16</t>
  </si>
  <si>
    <t>1 x 10 #2 Pine</t>
  </si>
  <si>
    <t>11-7/8"</t>
  </si>
  <si>
    <t>3/8"x16"x16' Solid</t>
  </si>
  <si>
    <t>4/4 x 8 x 16</t>
  </si>
  <si>
    <t>1 x 12 #2 Pine</t>
  </si>
  <si>
    <t>1 x 12</t>
  </si>
  <si>
    <t>15"</t>
  </si>
  <si>
    <t>3/8"x24"x16' Vented</t>
  </si>
  <si>
    <t>4/4 x 10 x 16</t>
  </si>
  <si>
    <t>Fir</t>
  </si>
  <si>
    <t>5/4 x 8 RBT</t>
  </si>
  <si>
    <t>3/8"x24"x16' Solid</t>
  </si>
  <si>
    <t>4/4 x 12 x 16</t>
  </si>
  <si>
    <t>1 x 4 Select Knotty</t>
  </si>
  <si>
    <t>11/16 x 8 bevel</t>
  </si>
  <si>
    <t>5/4 x 3 x 16</t>
  </si>
  <si>
    <t>1 x 6 Select Knotty</t>
  </si>
  <si>
    <t>5/4 x 4 x 16</t>
  </si>
  <si>
    <t>1 x 8 Select Knotty</t>
  </si>
  <si>
    <t>5/4 x 6 x 16</t>
  </si>
  <si>
    <t>5/4 x 8 x 16</t>
  </si>
  <si>
    <t>5/4 x 10 x 16</t>
  </si>
  <si>
    <t>5/4 x 12 x 16</t>
  </si>
  <si>
    <t>MDF</t>
  </si>
  <si>
    <t>Hemlock</t>
  </si>
  <si>
    <t>MDF Moulding</t>
  </si>
  <si>
    <t>1 x 2 x 16'</t>
  </si>
  <si>
    <t>1 X 3 Vertical Grain</t>
  </si>
  <si>
    <t>1 x 3 x 16'</t>
  </si>
  <si>
    <t>1 x 4 Vertical Grain</t>
  </si>
  <si>
    <t>1 x 4 x 16'</t>
  </si>
  <si>
    <t>1 x 5 Vertical Grain</t>
  </si>
  <si>
    <t>535 3 1/2"x16'</t>
  </si>
  <si>
    <t>1 x 5 x 16'</t>
  </si>
  <si>
    <t>1 X 6 Vertical Grain</t>
  </si>
  <si>
    <t>545 5"x16'</t>
  </si>
  <si>
    <t>1 x 6 x 16'</t>
  </si>
  <si>
    <t>1 x 8 Vertical Grain</t>
  </si>
  <si>
    <t>1 x 8 x 16'</t>
  </si>
  <si>
    <t>1 x 10 Vertical Grain</t>
  </si>
  <si>
    <t>Hemlock Moulding</t>
  </si>
  <si>
    <t>1 X 12 Vertical Grain</t>
  </si>
  <si>
    <t>356 Col 2 1/2"</t>
  </si>
  <si>
    <t>1 x 12 x 16'</t>
  </si>
  <si>
    <t>444 Col 3 1/2"</t>
  </si>
  <si>
    <t>4' x 8' x 3/4 (Each)</t>
  </si>
  <si>
    <t>Other</t>
  </si>
  <si>
    <t>Knotty Alder</t>
  </si>
  <si>
    <t>4" PVC sch 40</t>
  </si>
  <si>
    <t>1 x 6 S4S 2E</t>
  </si>
  <si>
    <t>1 x 8 S4S 2E</t>
  </si>
  <si>
    <t>1 x 10 S4S 2E</t>
  </si>
  <si>
    <t>1 x 12 S4S 2E</t>
  </si>
  <si>
    <t>2 X 4</t>
  </si>
  <si>
    <t>Treated</t>
  </si>
  <si>
    <t>2 x 4</t>
  </si>
  <si>
    <t>2 x 6</t>
  </si>
  <si>
    <t>2 x 8</t>
  </si>
  <si>
    <t>2 x 10</t>
  </si>
  <si>
    <t>2 x 12</t>
  </si>
  <si>
    <t>4 x 4</t>
  </si>
  <si>
    <t>6 x 6</t>
  </si>
  <si>
    <t>Siding</t>
  </si>
  <si>
    <t>3/8" Roughsawn</t>
  </si>
  <si>
    <t>Breckenridge 8" OC 4x8</t>
  </si>
  <si>
    <t>LP Panel 3/8x4x8 8" OC</t>
  </si>
  <si>
    <t>LP Panel 7/16x4x8 S/L</t>
  </si>
  <si>
    <t>LP Panel 7/16x4x9 S/L</t>
  </si>
  <si>
    <t>LP Soffit 3/8"x4'x8'</t>
  </si>
  <si>
    <t>Stock Decking</t>
  </si>
  <si>
    <t>Cedar 5/4x6x16'</t>
  </si>
  <si>
    <t>Cedar 2x2x3'</t>
  </si>
  <si>
    <t>2x6x16' DFL</t>
  </si>
  <si>
    <t>TimberTech Edge 1-Tone</t>
  </si>
  <si>
    <t>TimberTech Edge 2-Tone</t>
  </si>
  <si>
    <t>AZEK Landmark 2-Tone</t>
  </si>
  <si>
    <t>AZEK Vintage 2-Tone</t>
  </si>
  <si>
    <t>Closet Shelf</t>
  </si>
  <si>
    <t>12" x 8' OR 12' White</t>
  </si>
  <si>
    <t>16" x 8' OR 12' White</t>
  </si>
  <si>
    <t>2x4x116"</t>
  </si>
  <si>
    <t>2x6x116"</t>
  </si>
  <si>
    <t>2x4x14</t>
  </si>
  <si>
    <t>2x4x18</t>
  </si>
  <si>
    <t>2x8x8</t>
  </si>
  <si>
    <t>2x8x10</t>
  </si>
  <si>
    <t>2x8x12</t>
  </si>
  <si>
    <t>2x8x14</t>
  </si>
  <si>
    <t>2x8x16</t>
  </si>
  <si>
    <t>2x8x18</t>
  </si>
  <si>
    <t>2x8x20</t>
  </si>
  <si>
    <t>2x10x8</t>
  </si>
  <si>
    <t>2x10x10</t>
  </si>
  <si>
    <t>2x10x12</t>
  </si>
  <si>
    <t>2x10x14</t>
  </si>
  <si>
    <t>2x10x16</t>
  </si>
  <si>
    <t>2x10x18</t>
  </si>
  <si>
    <t>2x10x20</t>
  </si>
  <si>
    <t>2x12x14</t>
  </si>
  <si>
    <t>2x12x18</t>
  </si>
  <si>
    <t>2x12x20</t>
  </si>
  <si>
    <t>4x4x8 DF</t>
  </si>
  <si>
    <t>4x4x10 DF</t>
  </si>
  <si>
    <t>4x4x12 DF</t>
  </si>
  <si>
    <t>4x4x14 DF</t>
  </si>
  <si>
    <t>4x4x16 DF</t>
  </si>
  <si>
    <t>4x4x18 DF</t>
  </si>
  <si>
    <t>4x4x20 DF</t>
  </si>
  <si>
    <t>4x4x8 PT</t>
  </si>
  <si>
    <t>4x4x10 PT</t>
  </si>
  <si>
    <t>4x4x12 PT</t>
  </si>
  <si>
    <t>4x4x14 PT</t>
  </si>
  <si>
    <t>4x4x16 PT</t>
  </si>
  <si>
    <t>4x4x18 PT</t>
  </si>
  <si>
    <t>4x4x20 PT</t>
  </si>
  <si>
    <t>6x6x8 DF</t>
  </si>
  <si>
    <t>6x6x10 DF</t>
  </si>
  <si>
    <t>6x6x12 DF</t>
  </si>
  <si>
    <t>6x6x14 DF</t>
  </si>
  <si>
    <t>6x6x16 DF</t>
  </si>
  <si>
    <t>6x6x18 DF</t>
  </si>
  <si>
    <t>6x6x20 DF</t>
  </si>
  <si>
    <t>3/4" Advantech T&amp;G</t>
  </si>
  <si>
    <t>GL 3 1/2"x5-1/2"</t>
  </si>
  <si>
    <t>GL 3 1/2"x7-1/2"</t>
  </si>
  <si>
    <t>GL 3 1/2"x9"</t>
  </si>
  <si>
    <t>GL 3 1/2"x11-7/8"</t>
  </si>
  <si>
    <t>GL 3 1/2"x15"</t>
  </si>
  <si>
    <t>GL 3 1/2"x18"</t>
  </si>
  <si>
    <t>GL 5 1/2x5-1/2"</t>
  </si>
  <si>
    <t>GL 5 1/2x7-1/2"</t>
  </si>
  <si>
    <t>GL 5 1/2x9"</t>
  </si>
  <si>
    <t>GL 5 1/2x11-7/8"</t>
  </si>
  <si>
    <t>GL 5 1/2x15"</t>
  </si>
  <si>
    <t>GL 5 1/2x18"</t>
  </si>
  <si>
    <t>2x8x16 PT</t>
  </si>
  <si>
    <t>2x6x16 PT</t>
  </si>
  <si>
    <t>2x4x16 PT</t>
  </si>
  <si>
    <t>2x10x16 PT</t>
  </si>
  <si>
    <t>2x12x16 PT</t>
  </si>
  <si>
    <t>6x6x8 PT</t>
  </si>
  <si>
    <t>6x6x10 PT</t>
  </si>
  <si>
    <t>6x6x12 PT</t>
  </si>
  <si>
    <t>6x6x14 PT</t>
  </si>
  <si>
    <t>6x6x16 PT</t>
  </si>
  <si>
    <t>6x6x18 PT</t>
  </si>
  <si>
    <t>6x6x20 PT</t>
  </si>
  <si>
    <t>BCI 11 7/8 5000 1'</t>
  </si>
  <si>
    <t>BCI 9 1/2 5000 1'</t>
  </si>
  <si>
    <t>9 1/2 Rim Joist 1'</t>
  </si>
  <si>
    <t>11 7/8 Rim Joist 1'</t>
  </si>
  <si>
    <t>2x6 Hangers</t>
  </si>
  <si>
    <t>2x8 Hangers</t>
  </si>
  <si>
    <t>2x10 Hangers</t>
  </si>
  <si>
    <t>2x12 Hangers</t>
  </si>
  <si>
    <t>9 1/2 BCI Hangers</t>
  </si>
  <si>
    <t>11 7/8 BCI Hangers</t>
  </si>
  <si>
    <t xml:space="preserve"> Triad Gable Trim 10'</t>
  </si>
  <si>
    <t>Triad Drip Edge 10'</t>
  </si>
  <si>
    <t>Triad Ridge Cap 10'</t>
  </si>
  <si>
    <t>Triad Drip Flash 10'</t>
  </si>
  <si>
    <t>Triad End wall 10'</t>
  </si>
  <si>
    <t>Triad W Valley 10'</t>
  </si>
  <si>
    <t>Triad Hip Cap 10'</t>
  </si>
  <si>
    <t>Triad Eave Trim 10'</t>
  </si>
  <si>
    <t>Triad Mini Angle 10'</t>
  </si>
  <si>
    <t>Triad Inside Corner 10'</t>
  </si>
  <si>
    <t>Triad J Channel 10'</t>
  </si>
  <si>
    <t>Triad 2" Face F J Combo 10'</t>
  </si>
  <si>
    <t>Triad 2" Face J Channel 10'</t>
  </si>
  <si>
    <t>Triad  F J Combo 10'</t>
  </si>
  <si>
    <t>Triad F Channel 10'</t>
  </si>
  <si>
    <t>Triad Sidewall 10'</t>
  </si>
  <si>
    <t>Triad Highside Trim 10'</t>
  </si>
  <si>
    <t>Triad Double Angle 10'</t>
  </si>
  <si>
    <t>Triad Base Guard 10'</t>
  </si>
  <si>
    <t>Triad Outside Corner 10'</t>
  </si>
  <si>
    <t>Triad 2" Face Overhead Door 10"</t>
  </si>
  <si>
    <t>Triad Track Cover 10'</t>
  </si>
  <si>
    <t xml:space="preserve">Triad vented soffit 11 5/8" </t>
  </si>
  <si>
    <t>Triad #14 2" Screws 250</t>
  </si>
  <si>
    <t>Triad #14 1.5" Screws 250</t>
  </si>
  <si>
    <t>Triad #14 1" Screws 250</t>
  </si>
  <si>
    <t>Triad #10 2" Screws 250</t>
  </si>
  <si>
    <t>Triad #10 1.5" Screws 250</t>
  </si>
  <si>
    <t>Triad #10 1" Screws 250</t>
  </si>
  <si>
    <t>Plate Washers 5/8 50/box</t>
  </si>
  <si>
    <t xml:space="preserve">   </t>
  </si>
  <si>
    <t>cost</t>
  </si>
  <si>
    <t>sale</t>
  </si>
  <si>
    <t>surcharge</t>
  </si>
  <si>
    <t>Material Totals</t>
  </si>
  <si>
    <t>Order List</t>
  </si>
  <si>
    <t>Working Days</t>
  </si>
  <si>
    <t>Estimated</t>
  </si>
  <si>
    <t>Actual</t>
  </si>
  <si>
    <t>EXPENSES</t>
  </si>
  <si>
    <t>Quantity</t>
  </si>
  <si>
    <t>INCOME</t>
  </si>
  <si>
    <t>Materials</t>
  </si>
  <si>
    <t>TOTAL</t>
  </si>
  <si>
    <t>Meals</t>
  </si>
  <si>
    <t>Subs</t>
  </si>
  <si>
    <t>Daily Rate</t>
  </si>
  <si>
    <t>Western Skies</t>
  </si>
  <si>
    <t>John</t>
  </si>
  <si>
    <t>Matt</t>
  </si>
  <si>
    <t>Bonuses</t>
  </si>
  <si>
    <t>Gift</t>
  </si>
  <si>
    <t>Total Profit</t>
  </si>
  <si>
    <t>TOTAL Expenses</t>
  </si>
  <si>
    <t>TOTAL BID</t>
  </si>
  <si>
    <t>Total Non Labor</t>
  </si>
  <si>
    <t>Surcharge</t>
  </si>
  <si>
    <t>Other Expenses</t>
  </si>
  <si>
    <t>Supplyer</t>
  </si>
  <si>
    <t>Skytrack Day</t>
  </si>
  <si>
    <t>Skytrack Week</t>
  </si>
  <si>
    <t>Skytrack Month</t>
  </si>
  <si>
    <t>Skid Steer Day</t>
  </si>
  <si>
    <t>Skid Steer Week</t>
  </si>
  <si>
    <t>Skid Steer Month</t>
  </si>
  <si>
    <t>Roller Packer Day</t>
  </si>
  <si>
    <t>Roller Packer Week</t>
  </si>
  <si>
    <t>Roller Packer Month</t>
  </si>
  <si>
    <t>Equipment Delivery</t>
  </si>
  <si>
    <t>305 Mini Week</t>
  </si>
  <si>
    <t>305 Mini Day</t>
  </si>
  <si>
    <t>305 Mini Month</t>
  </si>
  <si>
    <t>Employees</t>
  </si>
  <si>
    <t>Out Of Town</t>
  </si>
  <si>
    <t>Hotel</t>
  </si>
  <si>
    <t>Fuel (Miles)</t>
  </si>
  <si>
    <t xml:space="preserve">Vantassel </t>
  </si>
  <si>
    <t>WSC Skid Steer per hr</t>
  </si>
  <si>
    <t>Victor Transfer</t>
  </si>
  <si>
    <t>Dump Trailer Load</t>
  </si>
  <si>
    <t xml:space="preserve"> </t>
  </si>
  <si>
    <t>John Per day</t>
  </si>
  <si>
    <t>Matt Per day</t>
  </si>
  <si>
    <t>WSC Per day</t>
  </si>
  <si>
    <t>Rentals</t>
  </si>
  <si>
    <t>Cost</t>
  </si>
  <si>
    <t>Partners</t>
  </si>
  <si>
    <t>TOTAL Income</t>
  </si>
  <si>
    <t>Hourly Labor $100</t>
  </si>
  <si>
    <t>OUT Employee Bounus</t>
  </si>
  <si>
    <t xml:space="preserve">Project: </t>
  </si>
  <si>
    <t>After Payouts</t>
  </si>
  <si>
    <t>Payout Income</t>
  </si>
  <si>
    <t>Pro Builder</t>
  </si>
  <si>
    <t>Crew Rate</t>
  </si>
  <si>
    <t>Porta Potty per week</t>
  </si>
  <si>
    <t>3 Ply 2x6x12' Full Treat</t>
  </si>
  <si>
    <t>3 Ply 2x6x14' Full Treat</t>
  </si>
  <si>
    <t>3 Ply 2x6x16' Full Treat</t>
  </si>
  <si>
    <t>3 Ply 2x6x18' Full Treat</t>
  </si>
  <si>
    <t>3 Ply 2x6x20' Full Treat</t>
  </si>
  <si>
    <t>3 Ply 2x6x22' Full Treat</t>
  </si>
  <si>
    <t>3 Ply 2x6x24' Full Treat</t>
  </si>
  <si>
    <t>3 Ply 2x6x26' Full Treat</t>
  </si>
  <si>
    <t>3 Ply 2x6x28' Full Treat</t>
  </si>
  <si>
    <t>3 Ply 2x6x30' Full Treat</t>
  </si>
  <si>
    <t>3 Ply 2x6x32' Full Treat</t>
  </si>
  <si>
    <t>3 Ply 2x6x34' Full Treat</t>
  </si>
  <si>
    <t>3 Ply 2x6x12' Treated Bottom</t>
  </si>
  <si>
    <t>3 Ply 2x6x14' Treated Bottom</t>
  </si>
  <si>
    <t>3 Ply 2x6x16' Treated Bottom</t>
  </si>
  <si>
    <t>3 Ply 2x6x18' Treated Bottom</t>
  </si>
  <si>
    <t>3 Ply 2x6x20' Treated Bottom</t>
  </si>
  <si>
    <t>3 Ply 2x6x22' Treated Bottom</t>
  </si>
  <si>
    <t>3 Ply 2x6x24' Treated Bottom</t>
  </si>
  <si>
    <t>3 Ply 2x6x26' Treated Bottom</t>
  </si>
  <si>
    <t>3 Ply 2x6x28' Treated Bottom</t>
  </si>
  <si>
    <t>3 Ply 2x6x30' Treated Bottom</t>
  </si>
  <si>
    <t>3 Ply 2x6x32' Treated Bottom</t>
  </si>
  <si>
    <t>3 Ply 2x6x34' Treated Bottom</t>
  </si>
  <si>
    <t>4 Ply 2x6x12' Treated Bottom</t>
  </si>
  <si>
    <t>4 Ply 2x6x14' Treated Bottom</t>
  </si>
  <si>
    <t>4 Ply 2x6x16' Treated Bottom</t>
  </si>
  <si>
    <t>4 Ply 2x6x18' Treated Bottom</t>
  </si>
  <si>
    <t>4 Ply 2x6x20' Treated Bottom</t>
  </si>
  <si>
    <t>4 Ply 2x6x22' Treated Bottom</t>
  </si>
  <si>
    <t>4 Ply 2x6x24' Treated Bottom</t>
  </si>
  <si>
    <t>4 Ply 2x6x26' Treated Bottom</t>
  </si>
  <si>
    <t>4 Ply 2x6x28' Treated Bottom</t>
  </si>
  <si>
    <t>4 Ply 2x6x30' Treated Bottom</t>
  </si>
  <si>
    <t>4 Ply 2x6x32' Treated Bottom</t>
  </si>
  <si>
    <t>4 Ply 2x6x34' Treated Bottom</t>
  </si>
  <si>
    <t>3 Ply 2x8x12' Treated Bottom</t>
  </si>
  <si>
    <t>3 Ply 2x8x14' Treated Bottom</t>
  </si>
  <si>
    <t>3 Ply 2x8x16' Treated Bottom</t>
  </si>
  <si>
    <t>3 Ply 2x8x18' Treated Bottom</t>
  </si>
  <si>
    <t>3 Ply 2x8x20' Treated Bottom</t>
  </si>
  <si>
    <t>3 Ply 2x8x22' Treated Bottom</t>
  </si>
  <si>
    <t>3 Ply 2x8x24' Treated Bottom</t>
  </si>
  <si>
    <t>3 Ply 2x8x26' Treated Bottom</t>
  </si>
  <si>
    <t>3 Ply 2x8x28' Treated Bottom</t>
  </si>
  <si>
    <t>3 Ply 2x8x30' Treated Bottom</t>
  </si>
  <si>
    <t>3 Ply 2x8x32' Treated Bottom</t>
  </si>
  <si>
    <t>3 Ply 2x8x34' Treated Bottom</t>
  </si>
  <si>
    <t>4 Ply 2x8x12' Treated Bottom</t>
  </si>
  <si>
    <t>4 Ply 2x8x14' Treated Bottom</t>
  </si>
  <si>
    <t>4 Ply 2x8x16' Treated Bottom</t>
  </si>
  <si>
    <t>4 Ply 2x8x18' Treated Bottom</t>
  </si>
  <si>
    <t>4 Ply 2x8x20' Treated Bottom</t>
  </si>
  <si>
    <t>4 Ply 2x8x22' Treated Bottom</t>
  </si>
  <si>
    <t>4 Ply 2x8x24' Treated Bottom</t>
  </si>
  <si>
    <t>4 Ply 2x8x26' Treated Bottom</t>
  </si>
  <si>
    <t>4 Ply 2x8x28' Treated Bottom</t>
  </si>
  <si>
    <t>4 Ply 2x8x30' Treated Bottom</t>
  </si>
  <si>
    <t>4 Ply 2x8x32' Treated Bottom</t>
  </si>
  <si>
    <t>4 Ply 2x8x34' Treated Bottom</t>
  </si>
  <si>
    <t>Butyl Tape 3/4"x3/32"x50'</t>
  </si>
  <si>
    <t>Profile vent 3"x25'</t>
  </si>
  <si>
    <t>9'x100' Tyvek</t>
  </si>
  <si>
    <t>2x6x16 T&amp;G Pine</t>
  </si>
  <si>
    <t>2x6x12 T&amp;G Pine</t>
  </si>
  <si>
    <t>8x8 Knife Post Base</t>
  </si>
  <si>
    <t>6x6 Knife Post Base</t>
  </si>
  <si>
    <t>4x4 Knife Post Base</t>
  </si>
  <si>
    <t>80lb Concrete Sackrete</t>
  </si>
  <si>
    <t>6" Truss Screw 50/Box</t>
  </si>
  <si>
    <t>Ice and Water Sheild 3'x67'</t>
  </si>
  <si>
    <t>R21 Fiberglass Batts 2x6 16" O/C 1 Sqft</t>
  </si>
  <si>
    <t>R21 Fiberglass Batts 2x6 24" O/C 1 Sqft</t>
  </si>
  <si>
    <t xml:space="preserve">Each </t>
  </si>
  <si>
    <t>1 5/16</t>
  </si>
  <si>
    <t>1 3/4</t>
  </si>
  <si>
    <t>3 1/2</t>
  </si>
  <si>
    <t>5 1/4</t>
  </si>
  <si>
    <t xml:space="preserve">    Hardiplank</t>
  </si>
  <si>
    <t xml:space="preserve">Glu lam </t>
  </si>
  <si>
    <t>5 1/2</t>
  </si>
  <si>
    <t>3 1/8</t>
  </si>
  <si>
    <t>5 1/8</t>
  </si>
  <si>
    <t xml:space="preserve">3/8 x 6" x16' </t>
  </si>
  <si>
    <t xml:space="preserve">1 x 10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</si>
  <si>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</si>
  <si>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356  2 1/2"x16'</t>
  </si>
  <si>
    <t>444  3 1/2"x16'</t>
  </si>
  <si>
    <t xml:space="preserve">1 x 10 x16' </t>
  </si>
  <si>
    <t xml:space="preserve">1 x 4 S4S 2E </t>
  </si>
  <si>
    <t xml:space="preserve"> 5 1/2 x 50 Sill sealer</t>
  </si>
  <si>
    <t>Tigerpaw Underlayment Felt 1000sqft</t>
  </si>
  <si>
    <t>Window Tape 4"x75' Frogtape</t>
  </si>
  <si>
    <t>SUBFLOOR Glue 28OZ</t>
  </si>
  <si>
    <t>1/2"x5" Titan anchor bolt</t>
  </si>
  <si>
    <t>R13 Fiberglass Batts 2x4 16" O/C 1 Sqft</t>
  </si>
  <si>
    <t>R13 Fiberglass Batts 2x4 24" O/C 1 Sqft</t>
  </si>
  <si>
    <t>R30 10" Fiberglass Batts 24" O/C 1 Sqft</t>
  </si>
  <si>
    <t>R30 10" Fiberglass Batts 16" O/C 1 Sqft</t>
  </si>
  <si>
    <t>R38  12" Fiberglass Batts 16" O/C 1 Sqft</t>
  </si>
  <si>
    <t>R38 12" Fiberglass Batts 24" O/C 1 Sqft</t>
  </si>
  <si>
    <t>Standing Seam sqft (Elite Metal Supplies)</t>
  </si>
  <si>
    <t>26ga Steel Siding with trim sqft (Elite Metal Supplies)</t>
  </si>
  <si>
    <t>26 ga Roof Standing Seam with trim (Elite Metal Supplies)</t>
  </si>
  <si>
    <t>24 ga Roof Standing Seam with trim (Elite Metal Supplies)</t>
  </si>
  <si>
    <t>10" Steel Board &amp; Batt per sqft</t>
  </si>
  <si>
    <t>Triad Pacific Rib per sqft</t>
  </si>
  <si>
    <t>Triad Post Rib per sqft</t>
  </si>
  <si>
    <t>Triad 5 1/2 Fascia 10'</t>
  </si>
  <si>
    <t>Em seal 20'</t>
  </si>
  <si>
    <t>flex vent 20'</t>
  </si>
  <si>
    <t xml:space="preserve">1.625"X65' PRO-TAC JOIST TAPE </t>
  </si>
  <si>
    <t>12" Sonotube per foot</t>
  </si>
  <si>
    <t xml:space="preserve">12X12X8 PIER W/ 4X4 BRACKET </t>
  </si>
  <si>
    <t>7/16"X20' #4 LITE BAR</t>
  </si>
  <si>
    <t xml:space="preserve">1/2"x20' Steel Rebar </t>
  </si>
  <si>
    <t>Gravel per Yd</t>
  </si>
  <si>
    <t>GAF Shingles sqft</t>
  </si>
  <si>
    <t>GAF Starter 120'</t>
  </si>
  <si>
    <t>GAF Ridge Cap 20'</t>
  </si>
  <si>
    <t>Quarrix Ridge Vent 20'</t>
  </si>
  <si>
    <t>Steel Drip Edge 10'</t>
  </si>
  <si>
    <t xml:space="preserve">4"X4"X14" STEP FLASHING BLACK </t>
  </si>
  <si>
    <t>Crane per hr</t>
  </si>
  <si>
    <t>Logan per day $20</t>
  </si>
  <si>
    <t>Elias per day $23.50</t>
  </si>
  <si>
    <t>Zook Per day $40</t>
  </si>
  <si>
    <t>Crew Cost</t>
  </si>
  <si>
    <t>BCI &amp; LSL</t>
  </si>
  <si>
    <t>11-7/8" BCI 5000</t>
  </si>
  <si>
    <t>1-1/8"x11-7/8" Rim</t>
  </si>
  <si>
    <t>1-1/2"x5-1/2" LSL</t>
  </si>
  <si>
    <t>EDCO WHT/BLK</t>
  </si>
  <si>
    <t>Knauf Jetstream</t>
  </si>
  <si>
    <t>53.20/bag</t>
  </si>
  <si>
    <t>House</t>
  </si>
  <si>
    <t>Framing</t>
  </si>
  <si>
    <t>Category</t>
  </si>
  <si>
    <t>Sub Category</t>
  </si>
  <si>
    <t>Equipment</t>
  </si>
  <si>
    <t>Carpenters</t>
  </si>
  <si>
    <t>Labors</t>
  </si>
  <si>
    <t>Hourly (Carp)</t>
  </si>
  <si>
    <t>Hourly (Labor)</t>
  </si>
  <si>
    <t>Debris Removal</t>
  </si>
  <si>
    <t>Dump tailer rent per day</t>
  </si>
  <si>
    <t>Job management</t>
  </si>
  <si>
    <t>Matt per day</t>
  </si>
  <si>
    <t>setting trusses</t>
  </si>
  <si>
    <t>Craine per hr</t>
  </si>
  <si>
    <t>Top Bottom Plates</t>
  </si>
  <si>
    <t>Wall Studs</t>
  </si>
  <si>
    <t>Gream room wall Studs</t>
  </si>
  <si>
    <t>Accessories</t>
  </si>
  <si>
    <t>Plumbing</t>
  </si>
  <si>
    <t>Repeat same idea as above</t>
  </si>
  <si>
    <t>Porch options</t>
  </si>
  <si>
    <t>Separate category but same idea as above</t>
  </si>
  <si>
    <t>I Would like this broken into categories</t>
  </si>
  <si>
    <t>Jessie Per Day</t>
  </si>
  <si>
    <t>Plumber</t>
  </si>
  <si>
    <t>Jessie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</si>
</sst>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;\-0;;@"/>
    <numFmt numFmtId="165" formatCode="0.0"/>
    <numFmt numFmtId="166" formatCode="m/d/yy;@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Calibri (Body)"/>
    </font>
    <font>
      <sz val="11"/>
      <color rgb="FF0070C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20"/>
      <color rgb="FF0070C0"/>
      <name val="Aptos Narrow"/>
      <family val="2"/>
      <scheme val="minor"/>
    </font>
    <font>
      <b/>
      <sz val="10"/>
      <name val="Arial"/>
      <family val="2"/>
    </font>
    <font>
      <sz val="10"/>
      <name val="Times New Roman"/>
      <family val="1"/>
    </font>
    <font>
      <b/>
      <sz val="8"/>
      <name val="Arial"/>
      <family val="2"/>
    </font>
    <font>
      <sz val="10"/>
      <color rgb="FF00B0F0"/>
      <name val="Arial"/>
      <family val="2"/>
    </font>
    <font>
      <i/>
      <sz val="10"/>
      <color rgb="FF00B0F0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rgb="FFFF0000"/>
      <name val="Arial"/>
      <family val="2"/>
    </font>
    <font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1" applyFont="0"/>
    <xf numFmtId="0" fontId="23" fillId="0" borderId="0"/>
  </cellStyleXfs>
  <cellXfs count="176">
    <xf numFmtId="0" fontId="0" fillId="0" borderId="0" xfId="0"/>
    <xf numFmtId="0" fontId="2" fillId="0" borderId="0" xfId="0" applyFont="1"/>
    <xf numFmtId="0" fontId="7" fillId="0" borderId="0" xfId="0" applyFont="1"/>
    <xf numFmtId="0" fontId="3" fillId="0" borderId="0" xfId="0" applyFont="1"/>
    <xf numFmtId="0" fontId="3" fillId="0" borderId="1" xfId="3" applyFont="1"/>
    <xf numFmtId="0" fontId="0" fillId="0" borderId="1" xfId="3" applyFont="1"/>
    <xf numFmtId="44" fontId="0" fillId="0" borderId="0" xfId="1" applyFont="1" applyAlignment="1">
      <alignment horizontal="left"/>
    </xf>
    <xf numFmtId="44" fontId="2" fillId="0" borderId="0" xfId="1" applyFont="1" applyAlignment="1">
      <alignment horizontal="left"/>
    </xf>
    <xf numFmtId="0" fontId="9" fillId="0" borderId="0" xfId="0" applyFont="1"/>
    <xf numFmtId="0" fontId="12" fillId="0" borderId="0" xfId="0" applyFont="1"/>
    <xf numFmtId="0" fontId="14" fillId="0" borderId="0" xfId="0" applyFont="1"/>
    <xf numFmtId="44" fontId="0" fillId="0" borderId="0" xfId="1" applyFont="1"/>
    <xf numFmtId="0" fontId="6" fillId="0" borderId="0" xfId="0" applyFont="1"/>
    <xf numFmtId="44" fontId="0" fillId="0" borderId="1" xfId="1" applyFont="1" applyBorder="1"/>
    <xf numFmtId="44" fontId="0" fillId="0" borderId="0" xfId="0" applyNumberFormat="1"/>
    <xf numFmtId="0" fontId="16" fillId="0" borderId="1" xfId="3" applyFont="1"/>
    <xf numFmtId="44" fontId="6" fillId="0" borderId="0" xfId="1" applyFont="1" applyAlignment="1"/>
    <xf numFmtId="0" fontId="0" fillId="0" borderId="0" xfId="0" applyAlignment="1">
      <alignment horizontal="right"/>
    </xf>
    <xf numFmtId="164" fontId="7" fillId="0" borderId="1" xfId="3" applyNumberFormat="1" applyFont="1"/>
    <xf numFmtId="164" fontId="2" fillId="0" borderId="0" xfId="0" applyNumberFormat="1" applyFont="1"/>
    <xf numFmtId="164" fontId="3" fillId="0" borderId="1" xfId="3" applyNumberFormat="1" applyFont="1"/>
    <xf numFmtId="164" fontId="0" fillId="0" borderId="0" xfId="0" applyNumberFormat="1"/>
    <xf numFmtId="164" fontId="5" fillId="0" borderId="0" xfId="0" applyNumberFormat="1" applyFont="1" applyAlignment="1">
      <alignment horizontal="center"/>
    </xf>
    <xf numFmtId="164" fontId="0" fillId="0" borderId="1" xfId="3" applyNumberFormat="1" applyFont="1"/>
    <xf numFmtId="164" fontId="0" fillId="0" borderId="0" xfId="0" applyNumberFormat="1" applyAlignment="1">
      <alignment horizontal="center"/>
    </xf>
    <xf numFmtId="164" fontId="0" fillId="0" borderId="1" xfId="3" applyNumberFormat="1" applyFont="1" applyAlignment="1">
      <alignment horizontal="center"/>
    </xf>
    <xf numFmtId="0" fontId="18" fillId="0" borderId="0" xfId="0" applyFont="1"/>
    <xf numFmtId="44" fontId="0" fillId="0" borderId="0" xfId="1" applyFont="1" applyAlignment="1"/>
    <xf numFmtId="44" fontId="19" fillId="0" borderId="0" xfId="1" applyFont="1"/>
    <xf numFmtId="44" fontId="19" fillId="0" borderId="0" xfId="0" applyNumberFormat="1" applyFont="1"/>
    <xf numFmtId="44" fontId="20" fillId="0" borderId="0" xfId="0" applyNumberFormat="1" applyFont="1"/>
    <xf numFmtId="0" fontId="19" fillId="0" borderId="0" xfId="0" applyFont="1"/>
    <xf numFmtId="44" fontId="20" fillId="0" borderId="0" xfId="1" applyFont="1"/>
    <xf numFmtId="9" fontId="0" fillId="0" borderId="0" xfId="2" applyFont="1"/>
    <xf numFmtId="0" fontId="0" fillId="0" borderId="0" xfId="1" applyNumberFormat="1" applyFont="1" applyAlignment="1">
      <alignment horizontal="left"/>
    </xf>
    <xf numFmtId="44" fontId="0" fillId="0" borderId="0" xfId="0" applyNumberFormat="1" applyAlignment="1">
      <alignment horizontal="center"/>
    </xf>
    <xf numFmtId="44" fontId="5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4" fontId="0" fillId="0" borderId="0" xfId="0" applyNumberFormat="1"/>
    <xf numFmtId="44" fontId="0" fillId="0" borderId="0" xfId="1" applyFont="1" applyBorder="1"/>
    <xf numFmtId="9" fontId="19" fillId="0" borderId="0" xfId="2" applyFont="1"/>
    <xf numFmtId="4" fontId="3" fillId="0" borderId="0" xfId="0" applyNumberFormat="1" applyFont="1"/>
    <xf numFmtId="9" fontId="15" fillId="0" borderId="0" xfId="2" quotePrefix="1" applyFont="1"/>
    <xf numFmtId="44" fontId="15" fillId="0" borderId="1" xfId="1" applyFont="1" applyBorder="1"/>
    <xf numFmtId="44" fontId="19" fillId="0" borderId="0" xfId="1" applyFont="1" applyAlignment="1">
      <alignment horizontal="left"/>
    </xf>
    <xf numFmtId="0" fontId="0" fillId="2" borderId="0" xfId="0" applyFill="1"/>
    <xf numFmtId="44" fontId="0" fillId="2" borderId="0" xfId="1" applyFont="1" applyFill="1"/>
    <xf numFmtId="0" fontId="15" fillId="0" borderId="0" xfId="0" applyFont="1"/>
    <xf numFmtId="0" fontId="22" fillId="3" borderId="2" xfId="0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2" fontId="22" fillId="0" borderId="2" xfId="0" applyNumberFormat="1" applyFont="1" applyBorder="1" applyAlignment="1">
      <alignment horizontal="center"/>
    </xf>
    <xf numFmtId="2" fontId="24" fillId="0" borderId="2" xfId="4" quotePrefix="1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2" fontId="25" fillId="0" borderId="2" xfId="0" applyNumberFormat="1" applyFont="1" applyBorder="1" applyAlignment="1">
      <alignment horizontal="center"/>
    </xf>
    <xf numFmtId="0" fontId="25" fillId="0" borderId="0" xfId="0" applyFont="1"/>
    <xf numFmtId="165" fontId="25" fillId="0" borderId="2" xfId="0" applyNumberFormat="1" applyFont="1" applyBorder="1" applyAlignment="1">
      <alignment horizontal="center"/>
    </xf>
    <xf numFmtId="2" fontId="25" fillId="5" borderId="2" xfId="0" applyNumberFormat="1" applyFont="1" applyFill="1" applyBorder="1" applyAlignment="1">
      <alignment horizontal="center"/>
    </xf>
    <xf numFmtId="2" fontId="14" fillId="0" borderId="2" xfId="4" applyNumberFormat="1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2" fontId="22" fillId="0" borderId="2" xfId="4" applyNumberFormat="1" applyFont="1" applyBorder="1" applyAlignment="1">
      <alignment horizontal="center"/>
    </xf>
    <xf numFmtId="2" fontId="22" fillId="0" borderId="2" xfId="4" quotePrefix="1" applyNumberFormat="1" applyFont="1" applyBorder="1" applyAlignment="1">
      <alignment horizontal="center"/>
    </xf>
    <xf numFmtId="0" fontId="14" fillId="0" borderId="2" xfId="0" applyFont="1" applyBorder="1"/>
    <xf numFmtId="2" fontId="26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2" fontId="27" fillId="0" borderId="2" xfId="0" applyNumberFormat="1" applyFont="1" applyBorder="1" applyAlignment="1">
      <alignment horizontal="center"/>
    </xf>
    <xf numFmtId="2" fontId="14" fillId="0" borderId="2" xfId="0" applyNumberFormat="1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2" fontId="8" fillId="0" borderId="2" xfId="4" applyNumberFormat="1" applyFont="1" applyBorder="1" applyAlignment="1">
      <alignment horizontal="center"/>
    </xf>
    <xf numFmtId="2" fontId="11" fillId="0" borderId="2" xfId="4" applyNumberFormat="1" applyFont="1" applyBorder="1" applyAlignment="1">
      <alignment horizontal="right"/>
    </xf>
    <xf numFmtId="2" fontId="14" fillId="0" borderId="2" xfId="4" quotePrefix="1" applyNumberFormat="1" applyFont="1" applyBorder="1" applyAlignment="1">
      <alignment horizontal="center"/>
    </xf>
    <xf numFmtId="2" fontId="25" fillId="0" borderId="2" xfId="4" quotePrefix="1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1" fillId="0" borderId="2" xfId="4" applyNumberFormat="1" applyFont="1" applyBorder="1" applyAlignment="1">
      <alignment horizontal="center"/>
    </xf>
    <xf numFmtId="0" fontId="11" fillId="0" borderId="2" xfId="0" applyFont="1" applyBorder="1"/>
    <xf numFmtId="2" fontId="9" fillId="0" borderId="0" xfId="4" quotePrefix="1" applyNumberFormat="1" applyFont="1" applyAlignment="1">
      <alignment horizontal="center"/>
    </xf>
    <xf numFmtId="2" fontId="11" fillId="0" borderId="0" xfId="4" applyNumberFormat="1" applyFont="1" applyAlignment="1">
      <alignment horizontal="center"/>
    </xf>
    <xf numFmtId="0" fontId="9" fillId="0" borderId="2" xfId="0" applyFont="1" applyBorder="1"/>
    <xf numFmtId="2" fontId="22" fillId="0" borderId="4" xfId="4" quotePrefix="1" applyNumberFormat="1" applyFont="1" applyBorder="1" applyAlignment="1">
      <alignment horizontal="center"/>
    </xf>
    <xf numFmtId="2" fontId="9" fillId="0" borderId="2" xfId="4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2" fontId="25" fillId="0" borderId="2" xfId="4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2" fontId="9" fillId="0" borderId="2" xfId="4" quotePrefix="1" applyNumberFormat="1" applyFont="1" applyBorder="1" applyAlignment="1">
      <alignment horizontal="left"/>
    </xf>
    <xf numFmtId="166" fontId="9" fillId="0" borderId="0" xfId="0" applyNumberFormat="1" applyFont="1"/>
    <xf numFmtId="44" fontId="1" fillId="0" borderId="0" xfId="1" applyFont="1" applyAlignment="1">
      <alignment horizontal="left"/>
    </xf>
    <xf numFmtId="0" fontId="28" fillId="0" borderId="0" xfId="0" applyFont="1"/>
    <xf numFmtId="0" fontId="25" fillId="0" borderId="3" xfId="0" applyFont="1" applyBorder="1" applyAlignment="1">
      <alignment horizontal="center"/>
    </xf>
    <xf numFmtId="2" fontId="14" fillId="0" borderId="4" xfId="4" applyNumberFormat="1" applyFont="1" applyBorder="1" applyAlignment="1">
      <alignment horizontal="center"/>
    </xf>
    <xf numFmtId="2" fontId="9" fillId="0" borderId="5" xfId="4" quotePrefix="1" applyNumberFormat="1" applyFont="1" applyBorder="1" applyAlignment="1">
      <alignment horizontal="center"/>
    </xf>
    <xf numFmtId="44" fontId="0" fillId="2" borderId="0" xfId="0" applyNumberFormat="1" applyFill="1"/>
    <xf numFmtId="44" fontId="0" fillId="6" borderId="0" xfId="0" applyNumberFormat="1" applyFill="1"/>
    <xf numFmtId="0" fontId="0" fillId="6" borderId="0" xfId="0" applyFill="1"/>
    <xf numFmtId="2" fontId="29" fillId="0" borderId="2" xfId="0" applyNumberFormat="1" applyFont="1" applyBorder="1" applyAlignment="1">
      <alignment horizontal="center"/>
    </xf>
    <xf numFmtId="2" fontId="30" fillId="0" borderId="2" xfId="4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27" fillId="0" borderId="2" xfId="0" applyFont="1" applyBorder="1" applyAlignment="1">
      <alignment horizontal="center"/>
    </xf>
    <xf numFmtId="0" fontId="27" fillId="0" borderId="0" xfId="0" applyFont="1"/>
    <xf numFmtId="2" fontId="14" fillId="0" borderId="6" xfId="4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2" fontId="11" fillId="0" borderId="5" xfId="4" applyNumberFormat="1" applyFont="1" applyBorder="1" applyAlignment="1">
      <alignment horizontal="center"/>
    </xf>
    <xf numFmtId="2" fontId="30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8" fillId="0" borderId="0" xfId="0" applyFont="1"/>
    <xf numFmtId="0" fontId="0" fillId="0" borderId="0" xfId="0"/>
    <xf numFmtId="0" fontId="9" fillId="0" borderId="2" xfId="0" applyFont="1" applyBorder="1" applyAlignment="1">
      <alignment horizontal="center"/>
    </xf>
    <xf numFmtId="2" fontId="9" fillId="0" borderId="2" xfId="4" applyNumberFormat="1" applyFont="1" applyBorder="1" applyAlignment="1">
      <alignment horizontal="center"/>
    </xf>
    <xf numFmtId="2" fontId="14" fillId="0" borderId="3" xfId="4" quotePrefix="1" applyNumberFormat="1" applyFont="1" applyBorder="1" applyAlignment="1">
      <alignment horizontal="center"/>
    </xf>
    <xf numFmtId="2" fontId="14" fillId="0" borderId="4" xfId="4" quotePrefix="1" applyNumberFormat="1" applyFont="1" applyBorder="1" applyAlignment="1">
      <alignment horizontal="center"/>
    </xf>
    <xf numFmtId="2" fontId="14" fillId="0" borderId="2" xfId="4" applyNumberFormat="1" applyFont="1" applyBorder="1" applyAlignment="1">
      <alignment horizontal="center"/>
    </xf>
    <xf numFmtId="2" fontId="14" fillId="0" borderId="2" xfId="4" quotePrefix="1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2" fontId="9" fillId="0" borderId="3" xfId="4" applyNumberFormat="1" applyFont="1" applyBorder="1" applyAlignment="1">
      <alignment horizontal="center"/>
    </xf>
    <xf numFmtId="2" fontId="9" fillId="0" borderId="4" xfId="4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2" fontId="10" fillId="0" borderId="2" xfId="4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2" fontId="22" fillId="4" borderId="3" xfId="4" applyNumberFormat="1" applyFont="1" applyFill="1" applyBorder="1" applyAlignment="1">
      <alignment horizontal="center"/>
    </xf>
    <xf numFmtId="2" fontId="22" fillId="4" borderId="4" xfId="4" applyNumberFormat="1" applyFont="1" applyFill="1" applyBorder="1" applyAlignment="1">
      <alignment horizontal="center"/>
    </xf>
    <xf numFmtId="1" fontId="25" fillId="0" borderId="3" xfId="4" applyNumberFormat="1" applyFont="1" applyBorder="1" applyAlignment="1">
      <alignment horizontal="center"/>
    </xf>
    <xf numFmtId="1" fontId="25" fillId="0" borderId="4" xfId="4" applyNumberFormat="1" applyFont="1" applyBorder="1" applyAlignment="1">
      <alignment horizontal="center"/>
    </xf>
    <xf numFmtId="2" fontId="25" fillId="0" borderId="3" xfId="4" applyNumberFormat="1" applyFont="1" applyBorder="1" applyAlignment="1">
      <alignment horizontal="center"/>
    </xf>
    <xf numFmtId="2" fontId="25" fillId="0" borderId="4" xfId="4" applyNumberFormat="1" applyFont="1" applyBorder="1" applyAlignment="1">
      <alignment horizontal="center"/>
    </xf>
    <xf numFmtId="2" fontId="9" fillId="0" borderId="3" xfId="4" quotePrefix="1" applyNumberFormat="1" applyFont="1" applyBorder="1" applyAlignment="1">
      <alignment horizontal="center"/>
    </xf>
    <xf numFmtId="2" fontId="9" fillId="0" borderId="4" xfId="4" quotePrefix="1" applyNumberFormat="1" applyFont="1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2" fontId="22" fillId="4" borderId="2" xfId="4" applyNumberFormat="1" applyFont="1" applyFill="1" applyBorder="1" applyAlignment="1">
      <alignment horizontal="center"/>
    </xf>
    <xf numFmtId="2" fontId="22" fillId="4" borderId="2" xfId="4" quotePrefix="1" applyNumberFormat="1" applyFont="1" applyFill="1" applyBorder="1" applyAlignment="1">
      <alignment horizontal="center"/>
    </xf>
    <xf numFmtId="2" fontId="9" fillId="0" borderId="2" xfId="4" quotePrefix="1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2" fontId="8" fillId="4" borderId="3" xfId="4" applyNumberFormat="1" applyFont="1" applyFill="1" applyBorder="1" applyAlignment="1">
      <alignment horizontal="center"/>
    </xf>
    <xf numFmtId="2" fontId="8" fillId="4" borderId="4" xfId="4" applyNumberFormat="1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4" fillId="0" borderId="2" xfId="0" quotePrefix="1" applyFont="1" applyBorder="1" applyAlignment="1">
      <alignment horizontal="center"/>
    </xf>
    <xf numFmtId="0" fontId="9" fillId="0" borderId="0" xfId="0" applyFont="1" applyAlignment="1">
      <alignment horizontal="center"/>
    </xf>
    <xf numFmtId="2" fontId="9" fillId="0" borderId="5" xfId="4" quotePrefix="1" applyNumberFormat="1" applyFont="1" applyBorder="1" applyAlignment="1">
      <alignment horizontal="center"/>
    </xf>
    <xf numFmtId="2" fontId="8" fillId="4" borderId="2" xfId="4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2" fontId="22" fillId="4" borderId="3" xfId="4" quotePrefix="1" applyNumberFormat="1" applyFont="1" applyFill="1" applyBorder="1" applyAlignment="1">
      <alignment horizontal="center"/>
    </xf>
    <xf numFmtId="2" fontId="22" fillId="4" borderId="4" xfId="4" quotePrefix="1" applyNumberFormat="1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2" fontId="14" fillId="0" borderId="3" xfId="4" applyNumberFormat="1" applyFont="1" applyBorder="1" applyAlignment="1">
      <alignment horizontal="center"/>
    </xf>
    <xf numFmtId="2" fontId="8" fillId="0" borderId="4" xfId="4" applyNumberFormat="1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2" fontId="14" fillId="0" borderId="6" xfId="4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2" fillId="7" borderId="0" xfId="0" applyFont="1" applyFill="1"/>
    <xf numFmtId="0" fontId="0" fillId="7" borderId="0" xfId="0" applyFill="1"/>
    <xf numFmtId="44" fontId="19" fillId="7" borderId="0" xfId="1" applyFont="1" applyFill="1"/>
    <xf numFmtId="44" fontId="19" fillId="7" borderId="0" xfId="0" applyNumberFormat="1" applyFont="1" applyFill="1"/>
    <xf numFmtId="0" fontId="2" fillId="8" borderId="0" xfId="0" applyFont="1" applyFill="1"/>
    <xf numFmtId="0" fontId="0" fillId="8" borderId="0" xfId="0" applyFill="1"/>
    <xf numFmtId="44" fontId="19" fillId="8" borderId="0" xfId="1" applyFont="1" applyFill="1"/>
    <xf numFmtId="44" fontId="19" fillId="8" borderId="0" xfId="0" applyNumberFormat="1" applyFont="1" applyFill="1"/>
    <xf numFmtId="4" fontId="0" fillId="2" borderId="0" xfId="0" applyNumberFormat="1" applyFill="1" applyAlignment="1">
      <alignment wrapText="1"/>
    </xf>
    <xf numFmtId="4" fontId="0" fillId="2" borderId="0" xfId="0" applyNumberFormat="1" applyFill="1"/>
    <xf numFmtId="0" fontId="0" fillId="0" borderId="0" xfId="0" applyFont="1"/>
    <xf numFmtId="44" fontId="19" fillId="0" borderId="0" xfId="1" applyNumberFormat="1" applyFont="1"/>
  </cellXfs>
  <cellStyles count="5">
    <cellStyle name="Currency" xfId="1" builtinId="4"/>
    <cellStyle name="Normal" xfId="0" builtinId="0"/>
    <cellStyle name="Normal_Pricing" xfId="4" xr:uid="{F63FA044-6FFA-4C4D-9896-3203535A592E}"/>
    <cellStyle name="Percent" xfId="2" builtinId="5"/>
    <cellStyle name="Style 1" xfId="3" xr:uid="{73754C58-C64B-4090-B129-CF36F8096E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externalLinkPath" Target="Project%20Income%20&amp;%20Expense/2024%20Jobs/Alpine%20Lolo%20Pole%20Barn%20Income%20&amp;%20Expense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485-BCF7-4FAE-BCCB-7543C9CA731E}">
  <sheetPr codeName="Sheet1"/>
  <dimension ref="A1:K54"/>
  <sheetViews>
    <sheetView zoomScaleNormal="100" workbookViewId="0">
      <selection activeCell="E15" sqref="E15"/>
    </sheetView>
  </sheetViews>
  <sheetFormatPr defaultColWidth="8.77734375" defaultRowHeight="14.4"/>
  <cols>
    <col min="1" max="1" width="16.77734375" customWidth="1"/>
    <col min="2" max="3" width="16.44140625" customWidth="1"/>
    <col min="4" max="4" width="20.44140625" customWidth="1"/>
    <col min="5" max="5" width="21.88671875" customWidth="1"/>
    <col min="6" max="6" width="16" style="28" customWidth="1"/>
    <col min="7" max="7" width="7.88671875" customWidth="1"/>
    <col min="8" max="8" width="12.77734375" style="31" customWidth="1"/>
    <col min="9" max="9" width="5.109375" customWidth="1"/>
    <col min="10" max="10" width="14.6640625" customWidth="1"/>
    <col min="11" max="11" width="15.6640625" customWidth="1"/>
  </cols>
  <sheetData>
    <row r="1" spans="1:11" ht="40.799999999999997" customHeight="1" thickBot="1">
      <c r="D1" s="108" t="s">
        <v>5</v>
      </c>
      <c r="E1" s="109"/>
      <c r="F1" s="109"/>
      <c r="G1" s="109"/>
      <c r="H1" s="110"/>
    </row>
    <row r="2" spans="1:11" ht="15" thickTop="1">
      <c r="A2" t="s">
        <v>521</v>
      </c>
      <c r="B2" t="s">
        <v>522</v>
      </c>
      <c r="C2" t="s">
        <v>6</v>
      </c>
      <c r="D2" s="5" t="s">
        <v>0</v>
      </c>
      <c r="E2" s="5" t="s">
        <v>1</v>
      </c>
      <c r="F2" s="45" t="s">
        <v>2</v>
      </c>
      <c r="G2" s="5" t="s">
        <v>3</v>
      </c>
      <c r="H2" s="5" t="s">
        <v>4</v>
      </c>
      <c r="K2" s="3" t="s">
        <v>322</v>
      </c>
    </row>
    <row r="3" spans="1:11">
      <c r="A3" s="164" t="s">
        <v>519</v>
      </c>
      <c r="B3" s="165" t="s">
        <v>520</v>
      </c>
      <c r="C3" s="165" t="s">
        <v>9</v>
      </c>
      <c r="D3" s="165" t="s">
        <v>524</v>
      </c>
      <c r="E3" s="165" t="s">
        <v>526</v>
      </c>
      <c r="F3" s="166">
        <v>75</v>
      </c>
      <c r="G3" s="165">
        <v>50</v>
      </c>
      <c r="H3" s="167">
        <f>F3*G3</f>
        <v>3750</v>
      </c>
      <c r="J3" s="17" t="s">
        <v>319</v>
      </c>
      <c r="K3" s="28">
        <f>SUM(H3:H53)</f>
        <v>7798.1500000000005</v>
      </c>
    </row>
    <row r="4" spans="1:11">
      <c r="A4" s="165"/>
      <c r="B4" s="165"/>
      <c r="C4" s="165"/>
      <c r="D4" s="165" t="s">
        <v>525</v>
      </c>
      <c r="E4" s="165" t="s">
        <v>527</v>
      </c>
      <c r="F4" s="166">
        <v>25</v>
      </c>
      <c r="G4" s="165">
        <v>20</v>
      </c>
      <c r="H4" s="167">
        <f>F4*G4</f>
        <v>500</v>
      </c>
      <c r="J4" s="17" t="s">
        <v>321</v>
      </c>
      <c r="K4" s="44">
        <v>0.2</v>
      </c>
    </row>
    <row r="5" spans="1:11">
      <c r="A5" s="165"/>
      <c r="B5" s="165"/>
      <c r="C5" s="165"/>
      <c r="D5" s="165" t="s">
        <v>530</v>
      </c>
      <c r="E5" s="165" t="s">
        <v>531</v>
      </c>
      <c r="F5" s="166">
        <v>400</v>
      </c>
      <c r="G5" s="165">
        <v>2</v>
      </c>
      <c r="H5" s="167">
        <f t="shared" ref="H5" si="0">F5*G5</f>
        <v>800</v>
      </c>
      <c r="J5" s="17" t="s">
        <v>320</v>
      </c>
      <c r="K5" s="29">
        <f>K3*K4+K3</f>
        <v>9357.7800000000007</v>
      </c>
    </row>
    <row r="6" spans="1:11">
      <c r="A6" s="165"/>
      <c r="B6" s="165"/>
      <c r="C6" s="165" t="s">
        <v>523</v>
      </c>
      <c r="D6" s="165" t="s">
        <v>528</v>
      </c>
      <c r="E6" s="165" t="s">
        <v>529</v>
      </c>
      <c r="F6" s="166">
        <v>200</v>
      </c>
      <c r="G6" s="165">
        <v>1</v>
      </c>
      <c r="H6" s="167">
        <f t="shared" ref="H6:H53" si="1">F6*G6</f>
        <v>200</v>
      </c>
    </row>
    <row r="7" spans="1:11">
      <c r="A7" s="165"/>
      <c r="B7" s="165"/>
      <c r="C7" s="165"/>
      <c r="D7" s="165" t="s">
        <v>532</v>
      </c>
      <c r="E7" s="165" t="s">
        <v>533</v>
      </c>
      <c r="F7" s="166">
        <v>400</v>
      </c>
      <c r="G7" s="165">
        <v>3</v>
      </c>
      <c r="H7" s="167">
        <f t="shared" ref="H7" si="2">F7*G7</f>
        <v>1200</v>
      </c>
      <c r="K7" s="3"/>
    </row>
    <row r="8" spans="1:11">
      <c r="A8" s="165"/>
      <c r="B8" s="165"/>
      <c r="C8" s="165" t="s">
        <v>330</v>
      </c>
      <c r="D8" s="165" t="s">
        <v>534</v>
      </c>
      <c r="E8" s="165" t="s">
        <v>20</v>
      </c>
      <c r="F8" s="166">
        <f>VLOOKUP(E8,'Product $'!B:C,2,FALSE)</f>
        <v>12.55</v>
      </c>
      <c r="G8" s="165">
        <v>20</v>
      </c>
      <c r="H8" s="167">
        <f t="shared" si="1"/>
        <v>251</v>
      </c>
      <c r="J8" s="17"/>
      <c r="K8" s="11"/>
    </row>
    <row r="9" spans="1:11">
      <c r="A9" s="165"/>
      <c r="B9" s="165"/>
      <c r="C9" s="165"/>
      <c r="D9" s="165" t="s">
        <v>535</v>
      </c>
      <c r="E9" s="165" t="s">
        <v>31</v>
      </c>
      <c r="F9" s="166">
        <f>VLOOKUP(E9,'Product $'!B:C,2,FALSE)</f>
        <v>3.27</v>
      </c>
      <c r="G9" s="165">
        <v>100</v>
      </c>
      <c r="H9" s="167">
        <f t="shared" si="1"/>
        <v>327</v>
      </c>
      <c r="J9" s="17"/>
    </row>
    <row r="10" spans="1:11">
      <c r="A10" s="165"/>
      <c r="B10" s="165"/>
      <c r="C10" s="165"/>
      <c r="D10" s="165"/>
      <c r="E10" s="165" t="s">
        <v>16</v>
      </c>
      <c r="F10" s="166">
        <f>VLOOKUP(E10,'Product $'!B:C,2,FALSE)</f>
        <v>4.8600000000000003</v>
      </c>
      <c r="G10" s="165">
        <v>50</v>
      </c>
      <c r="H10" s="167">
        <f t="shared" si="1"/>
        <v>243.00000000000003</v>
      </c>
      <c r="J10" s="17"/>
      <c r="K10" s="11"/>
    </row>
    <row r="11" spans="1:11">
      <c r="A11" s="165"/>
      <c r="B11" s="165"/>
      <c r="C11" s="165"/>
      <c r="D11" s="165" t="s">
        <v>536</v>
      </c>
      <c r="E11" s="165" t="s">
        <v>20</v>
      </c>
      <c r="F11" s="166">
        <f>VLOOKUP(E11,'Product $'!B:C,2,FALSE)</f>
        <v>12.55</v>
      </c>
      <c r="G11" s="165">
        <v>26</v>
      </c>
      <c r="H11" s="167">
        <f t="shared" si="1"/>
        <v>326.3</v>
      </c>
      <c r="J11" s="17"/>
    </row>
    <row r="12" spans="1:11">
      <c r="A12" s="165"/>
      <c r="B12" s="165"/>
      <c r="C12" s="165"/>
      <c r="D12" s="165" t="s">
        <v>537</v>
      </c>
      <c r="E12" s="165" t="s">
        <v>15</v>
      </c>
      <c r="F12" s="166">
        <f>VLOOKUP(E12,'Product $'!B:C,2,FALSE)</f>
        <v>8.0500000000000007</v>
      </c>
      <c r="G12" s="165">
        <v>1</v>
      </c>
      <c r="H12" s="167">
        <f t="shared" si="1"/>
        <v>8.0500000000000007</v>
      </c>
      <c r="J12" s="17"/>
      <c r="K12" s="11"/>
    </row>
    <row r="13" spans="1:11">
      <c r="A13" s="165"/>
      <c r="B13" s="165"/>
      <c r="C13" s="165"/>
      <c r="D13" s="165"/>
      <c r="E13" s="165" t="s">
        <v>478</v>
      </c>
      <c r="F13" s="166">
        <f>VLOOKUP(E13,'Product $'!B:C,2,FALSE)</f>
        <v>5</v>
      </c>
      <c r="G13" s="165">
        <v>10</v>
      </c>
      <c r="H13" s="167">
        <f t="shared" si="1"/>
        <v>50</v>
      </c>
      <c r="J13" s="17"/>
      <c r="K13" s="14"/>
    </row>
    <row r="14" spans="1:11">
      <c r="A14" s="165"/>
      <c r="B14" s="165"/>
      <c r="C14" s="165"/>
      <c r="D14" s="165"/>
      <c r="E14" s="165" t="s">
        <v>477</v>
      </c>
      <c r="F14" s="166">
        <f>VLOOKUP(E14,'Product $'!B:C,2,FALSE)</f>
        <v>7.14</v>
      </c>
      <c r="G14" s="165">
        <v>20</v>
      </c>
      <c r="H14" s="167">
        <f t="shared" si="1"/>
        <v>142.79999999999998</v>
      </c>
    </row>
    <row r="15" spans="1:11">
      <c r="A15" s="165"/>
      <c r="B15" s="165" t="s">
        <v>538</v>
      </c>
      <c r="C15" s="165" t="s">
        <v>539</v>
      </c>
      <c r="D15" s="165"/>
      <c r="E15" s="165" t="s">
        <v>318</v>
      </c>
      <c r="F15" s="166">
        <f>VLOOKUP(E15,'Product $'!B:C,2,FALSE)</f>
        <v>0</v>
      </c>
      <c r="G15" s="165"/>
      <c r="H15" s="167">
        <f t="shared" si="1"/>
        <v>0</v>
      </c>
      <c r="K15" s="3"/>
    </row>
    <row r="16" spans="1:11">
      <c r="A16" s="168" t="s">
        <v>540</v>
      </c>
      <c r="B16" s="169" t="s">
        <v>541</v>
      </c>
      <c r="C16" s="169"/>
      <c r="D16" s="169"/>
      <c r="E16" s="169" t="s">
        <v>318</v>
      </c>
      <c r="F16" s="170">
        <f>VLOOKUP(E16,'Product $'!B:C,2,FALSE)</f>
        <v>0</v>
      </c>
      <c r="G16" s="169"/>
      <c r="H16" s="171">
        <f t="shared" si="1"/>
        <v>0</v>
      </c>
      <c r="J16" s="17"/>
      <c r="K16" s="14"/>
    </row>
    <row r="17" spans="1:10">
      <c r="A17" s="169"/>
      <c r="B17" s="169"/>
      <c r="C17" s="169"/>
      <c r="D17" s="169"/>
      <c r="E17" s="169" t="s">
        <v>318</v>
      </c>
      <c r="F17" s="170">
        <f>VLOOKUP(E17,'Product $'!B:C,2,FALSE)</f>
        <v>0</v>
      </c>
      <c r="G17" s="169"/>
      <c r="H17" s="171">
        <f t="shared" si="1"/>
        <v>0</v>
      </c>
    </row>
    <row r="18" spans="1:10">
      <c r="A18" s="169"/>
      <c r="B18" s="169"/>
      <c r="C18" s="169"/>
      <c r="D18" s="169"/>
      <c r="E18" s="169" t="s">
        <v>318</v>
      </c>
      <c r="F18" s="170">
        <f>VLOOKUP(E18,'Product $'!B:C,2,FALSE)</f>
        <v>0</v>
      </c>
      <c r="G18" s="169"/>
      <c r="H18" s="171">
        <f t="shared" si="1"/>
        <v>0</v>
      </c>
    </row>
    <row r="19" spans="1:10">
      <c r="A19" s="169"/>
      <c r="B19" s="169"/>
      <c r="C19" s="169"/>
      <c r="D19" s="169"/>
      <c r="E19" s="169" t="s">
        <v>318</v>
      </c>
      <c r="F19" s="170">
        <f>VLOOKUP(E19,'Product $'!B:C,2,FALSE)</f>
        <v>0</v>
      </c>
      <c r="G19" s="169"/>
      <c r="H19" s="171">
        <f t="shared" si="1"/>
        <v>0</v>
      </c>
    </row>
    <row r="20" spans="1:10">
      <c r="A20" s="169"/>
      <c r="B20" s="169"/>
      <c r="C20" s="169"/>
      <c r="D20" s="169"/>
      <c r="E20" s="169" t="s">
        <v>318</v>
      </c>
      <c r="F20" s="170">
        <f>VLOOKUP(E20,'Product $'!B:C,2,FALSE)</f>
        <v>0</v>
      </c>
      <c r="G20" s="169"/>
      <c r="H20" s="171">
        <f t="shared" si="1"/>
        <v>0</v>
      </c>
    </row>
    <row r="21" spans="1:10">
      <c r="A21" s="169"/>
      <c r="B21" s="169"/>
      <c r="C21" s="169"/>
      <c r="D21" s="169"/>
      <c r="E21" s="169" t="s">
        <v>318</v>
      </c>
      <c r="F21" s="170">
        <f>VLOOKUP(E21,'Product $'!B:C,2,FALSE)</f>
        <v>0</v>
      </c>
      <c r="G21" s="169"/>
      <c r="H21" s="171">
        <f t="shared" si="1"/>
        <v>0</v>
      </c>
    </row>
    <row r="22" spans="1:10">
      <c r="A22" s="169"/>
      <c r="B22" s="169"/>
      <c r="C22" s="169"/>
      <c r="D22" s="169"/>
      <c r="E22" s="169" t="s">
        <v>318</v>
      </c>
      <c r="F22" s="170">
        <f>VLOOKUP(E22,'Product $'!B:C,2,FALSE)</f>
        <v>0</v>
      </c>
      <c r="G22" s="169"/>
      <c r="H22" s="171">
        <f t="shared" si="1"/>
        <v>0</v>
      </c>
    </row>
    <row r="23" spans="1:10">
      <c r="A23" s="169"/>
      <c r="B23" s="169"/>
      <c r="C23" s="169"/>
      <c r="D23" s="169"/>
      <c r="E23" s="169" t="s">
        <v>318</v>
      </c>
      <c r="F23" s="170">
        <f>VLOOKUP(E23,'Product $'!B:C,2,FALSE)</f>
        <v>0</v>
      </c>
      <c r="G23" s="169"/>
      <c r="H23" s="171">
        <f t="shared" si="1"/>
        <v>0</v>
      </c>
      <c r="J23" t="s">
        <v>318</v>
      </c>
    </row>
    <row r="24" spans="1:10">
      <c r="E24" t="s">
        <v>318</v>
      </c>
      <c r="F24" s="28">
        <f>VLOOKUP(E24,'Product $'!B:C,2,FALSE)</f>
        <v>0</v>
      </c>
      <c r="H24" s="29">
        <f t="shared" si="1"/>
        <v>0</v>
      </c>
      <c r="J24" t="s">
        <v>318</v>
      </c>
    </row>
    <row r="25" spans="1:10">
      <c r="E25" t="s">
        <v>318</v>
      </c>
      <c r="F25" s="28">
        <f>VLOOKUP(E25,'Product $'!B:C,2,FALSE)</f>
        <v>0</v>
      </c>
      <c r="H25" s="29">
        <f t="shared" si="1"/>
        <v>0</v>
      </c>
      <c r="J25" t="s">
        <v>318</v>
      </c>
    </row>
    <row r="26" spans="1:10">
      <c r="E26" t="s">
        <v>318</v>
      </c>
      <c r="F26" s="28">
        <f>VLOOKUP(E26,'Product $'!B:C,2,FALSE)</f>
        <v>0</v>
      </c>
      <c r="H26" s="29">
        <f t="shared" si="1"/>
        <v>0</v>
      </c>
      <c r="J26" t="s">
        <v>318</v>
      </c>
    </row>
    <row r="27" spans="1:10">
      <c r="E27" t="s">
        <v>318</v>
      </c>
      <c r="F27" s="28">
        <f>VLOOKUP(E27,'Product $'!B:C,2,FALSE)</f>
        <v>0</v>
      </c>
      <c r="H27" s="29">
        <f t="shared" si="1"/>
        <v>0</v>
      </c>
      <c r="J27" t="s">
        <v>318</v>
      </c>
    </row>
    <row r="28" spans="1:10">
      <c r="E28" t="s">
        <v>318</v>
      </c>
      <c r="F28" s="28">
        <f>VLOOKUP(E28,'Product $'!B:C,2,FALSE)</f>
        <v>0</v>
      </c>
      <c r="H28" s="29">
        <f t="shared" si="1"/>
        <v>0</v>
      </c>
      <c r="J28" t="s">
        <v>318</v>
      </c>
    </row>
    <row r="29" spans="1:10">
      <c r="E29" t="s">
        <v>318</v>
      </c>
      <c r="F29" s="28">
        <f>VLOOKUP(E29,'Product $'!B:C,2,FALSE)</f>
        <v>0</v>
      </c>
      <c r="H29" s="29">
        <f t="shared" si="1"/>
        <v>0</v>
      </c>
      <c r="J29" t="s">
        <v>318</v>
      </c>
    </row>
    <row r="30" spans="1:10">
      <c r="E30" t="s">
        <v>318</v>
      </c>
      <c r="F30" s="28">
        <f>VLOOKUP(E30,'Product $'!B:C,2,FALSE)</f>
        <v>0</v>
      </c>
      <c r="H30" s="29">
        <f t="shared" si="1"/>
        <v>0</v>
      </c>
      <c r="J30" t="s">
        <v>318</v>
      </c>
    </row>
    <row r="31" spans="1:10">
      <c r="E31" t="s">
        <v>318</v>
      </c>
      <c r="F31" s="28">
        <f>VLOOKUP(E31,'Product $'!B:C,2,FALSE)</f>
        <v>0</v>
      </c>
      <c r="H31" s="29">
        <f t="shared" si="1"/>
        <v>0</v>
      </c>
      <c r="J31" t="s">
        <v>318</v>
      </c>
    </row>
    <row r="32" spans="1:10">
      <c r="E32" t="s">
        <v>318</v>
      </c>
      <c r="F32" s="28">
        <f>VLOOKUP(E32,'Product $'!B:C,2,FALSE)</f>
        <v>0</v>
      </c>
      <c r="H32" s="29">
        <f t="shared" si="1"/>
        <v>0</v>
      </c>
      <c r="J32" t="s">
        <v>318</v>
      </c>
    </row>
    <row r="33" spans="5:10">
      <c r="E33" t="s">
        <v>318</v>
      </c>
      <c r="F33" s="28">
        <f>VLOOKUP(E33,'Product $'!B:C,2,FALSE)</f>
        <v>0</v>
      </c>
      <c r="H33" s="29">
        <f t="shared" si="1"/>
        <v>0</v>
      </c>
      <c r="J33" t="s">
        <v>318</v>
      </c>
    </row>
    <row r="34" spans="5:10">
      <c r="E34" t="s">
        <v>318</v>
      </c>
      <c r="F34" s="28">
        <f>VLOOKUP(E34,'Product $'!B:C,2,FALSE)</f>
        <v>0</v>
      </c>
      <c r="H34" s="29">
        <f t="shared" si="1"/>
        <v>0</v>
      </c>
    </row>
    <row r="35" spans="5:10">
      <c r="E35" t="s">
        <v>318</v>
      </c>
      <c r="F35" s="28">
        <f>VLOOKUP(E35,'Product $'!B:C,2,FALSE)</f>
        <v>0</v>
      </c>
      <c r="H35" s="29">
        <f t="shared" si="1"/>
        <v>0</v>
      </c>
    </row>
    <row r="36" spans="5:10">
      <c r="E36" t="s">
        <v>318</v>
      </c>
      <c r="F36" s="28">
        <f>VLOOKUP(E36,'Product $'!B:C,2,FALSE)</f>
        <v>0</v>
      </c>
      <c r="H36" s="29">
        <f t="shared" si="1"/>
        <v>0</v>
      </c>
    </row>
    <row r="37" spans="5:10">
      <c r="E37" t="s">
        <v>318</v>
      </c>
      <c r="F37" s="28">
        <f>VLOOKUP(E37,'Product $'!B:C,2,FALSE)</f>
        <v>0</v>
      </c>
      <c r="H37" s="29">
        <f t="shared" si="1"/>
        <v>0</v>
      </c>
    </row>
    <row r="38" spans="5:10">
      <c r="E38" t="s">
        <v>318</v>
      </c>
      <c r="F38" s="28">
        <f>VLOOKUP(E38,'Product $'!B:C,2,FALSE)</f>
        <v>0</v>
      </c>
      <c r="H38" s="29">
        <f t="shared" si="1"/>
        <v>0</v>
      </c>
    </row>
    <row r="39" spans="5:10">
      <c r="E39" t="s">
        <v>318</v>
      </c>
      <c r="F39" s="28">
        <f>VLOOKUP(E39,'Product $'!B:C,2,FALSE)</f>
        <v>0</v>
      </c>
      <c r="H39" s="29">
        <f t="shared" si="1"/>
        <v>0</v>
      </c>
    </row>
    <row r="40" spans="5:10">
      <c r="E40" t="s">
        <v>318</v>
      </c>
      <c r="F40" s="28">
        <f>VLOOKUP(E40,'Product $'!B:C,2,FALSE)</f>
        <v>0</v>
      </c>
      <c r="H40" s="29">
        <f t="shared" si="1"/>
        <v>0</v>
      </c>
    </row>
    <row r="41" spans="5:10">
      <c r="E41" t="s">
        <v>318</v>
      </c>
      <c r="F41" s="28">
        <f>VLOOKUP(E41,'Product $'!B:C,2,FALSE)</f>
        <v>0</v>
      </c>
      <c r="H41" s="29">
        <f t="shared" si="1"/>
        <v>0</v>
      </c>
    </row>
    <row r="42" spans="5:10">
      <c r="E42" t="s">
        <v>318</v>
      </c>
      <c r="F42" s="28">
        <f>VLOOKUP(E42,'Product $'!B:C,2,FALSE)</f>
        <v>0</v>
      </c>
      <c r="H42" s="29">
        <f t="shared" si="1"/>
        <v>0</v>
      </c>
    </row>
    <row r="43" spans="5:10">
      <c r="E43" t="s">
        <v>318</v>
      </c>
      <c r="F43" s="28">
        <f>VLOOKUP(E43,'Product $'!B:C,2,FALSE)</f>
        <v>0</v>
      </c>
      <c r="H43" s="29">
        <f t="shared" si="1"/>
        <v>0</v>
      </c>
    </row>
    <row r="44" spans="5:10">
      <c r="E44" t="s">
        <v>318</v>
      </c>
      <c r="F44" s="28">
        <f>VLOOKUP(E44,'Product $'!B:C,2,FALSE)</f>
        <v>0</v>
      </c>
      <c r="H44" s="29">
        <f t="shared" si="1"/>
        <v>0</v>
      </c>
    </row>
    <row r="45" spans="5:10">
      <c r="E45" t="s">
        <v>318</v>
      </c>
      <c r="F45" s="28">
        <f>VLOOKUP(E45,'Product $'!B:C,2,FALSE)</f>
        <v>0</v>
      </c>
      <c r="H45" s="29">
        <f t="shared" si="1"/>
        <v>0</v>
      </c>
    </row>
    <row r="46" spans="5:10">
      <c r="E46" t="s">
        <v>318</v>
      </c>
      <c r="F46" s="28">
        <f>VLOOKUP(E46,'Product $'!B:C,2,FALSE)</f>
        <v>0</v>
      </c>
      <c r="H46" s="29">
        <f t="shared" si="1"/>
        <v>0</v>
      </c>
    </row>
    <row r="47" spans="5:10">
      <c r="E47" t="s">
        <v>318</v>
      </c>
      <c r="F47" s="28">
        <f>VLOOKUP(E47,'Product $'!B:C,2,FALSE)</f>
        <v>0</v>
      </c>
      <c r="H47" s="29">
        <f t="shared" si="1"/>
        <v>0</v>
      </c>
    </row>
    <row r="48" spans="5:10">
      <c r="E48" t="s">
        <v>318</v>
      </c>
      <c r="F48" s="28">
        <f>VLOOKUP(E48,'Product $'!B:C,2,FALSE)</f>
        <v>0</v>
      </c>
      <c r="H48" s="29">
        <f t="shared" si="1"/>
        <v>0</v>
      </c>
    </row>
    <row r="49" spans="5:8">
      <c r="E49" t="s">
        <v>318</v>
      </c>
      <c r="F49" s="28">
        <f>VLOOKUP(E49,'Product $'!B:C,2,FALSE)</f>
        <v>0</v>
      </c>
      <c r="H49" s="29">
        <f t="shared" si="1"/>
        <v>0</v>
      </c>
    </row>
    <row r="50" spans="5:8">
      <c r="E50" t="s">
        <v>318</v>
      </c>
      <c r="F50" s="28">
        <f>VLOOKUP(E50,'Product $'!B:C,2,FALSE)</f>
        <v>0</v>
      </c>
      <c r="H50" s="29">
        <f t="shared" si="1"/>
        <v>0</v>
      </c>
    </row>
    <row r="51" spans="5:8">
      <c r="E51" t="s">
        <v>318</v>
      </c>
      <c r="F51" s="28">
        <f>VLOOKUP(E51,'Product $'!B:C,2,FALSE)</f>
        <v>0</v>
      </c>
      <c r="H51" s="29">
        <f t="shared" si="1"/>
        <v>0</v>
      </c>
    </row>
    <row r="52" spans="5:8">
      <c r="E52" t="s">
        <v>318</v>
      </c>
      <c r="F52" s="28">
        <f>VLOOKUP(E52,'Product $'!B:C,2,FALSE)</f>
        <v>0</v>
      </c>
      <c r="H52" s="29">
        <f t="shared" si="1"/>
        <v>0</v>
      </c>
    </row>
    <row r="53" spans="5:8">
      <c r="E53" t="s">
        <v>318</v>
      </c>
      <c r="F53" s="28">
        <f>VLOOKUP(E53,'Product $'!B:C,2,FALSE)</f>
        <v>0</v>
      </c>
      <c r="H53" s="29">
        <f t="shared" si="1"/>
        <v>0</v>
      </c>
    </row>
    <row r="54" spans="5:8">
      <c r="H54" s="29"/>
    </row>
  </sheetData>
  <dataConsolidate>
    <dataRefs count="1">
      <dataRef ref="B4:B8" sheet="Project Builder"/>
    </dataRefs>
  </dataConsolidate>
  <mergeCells count="1">
    <mergeCell ref="D1:H1"/>
  </mergeCells>
  <dataValidations count="1">
    <dataValidation allowBlank="1" showInputMessage="1" sqref="E1:E2 E54:E1048576" xr:uid="{537687FB-13D5-46E6-8FFA-E25846EFDB41}"/>
  </dataValidations>
  <pageMargins left="0.7" right="0.7" top="0.75" bottom="0.75" header="0.3" footer="0.3"/>
  <pageSetup orientation="portrait" horizontalDpi="30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7A4B495A-D26E-4EC5-B6E3-5ED9329B06F7}">
          <x14:formula1>
            <xm:f>'Product $'!$B:$B</xm:f>
          </x14:formula1>
          <xm:sqref>E3:E53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2659-B190-4578-B491-2D903D990ED1}">
  <sheetPr codeName="Sheet2"/>
  <dimension ref="A1:C45"/>
  <sheetViews>
    <sheetView view="pageLayout" zoomScaleNormal="100" workbookViewId="0">
      <selection activeCell="B2" sqref="B2"/>
    </sheetView>
  </sheetViews>
  <sheetFormatPr defaultColWidth="8.77734375" defaultRowHeight="14.4"/>
  <cols>
    <col min="1" max="1" width="32.109375" style="19" customWidth="1"/>
    <col min="2" max="2" width="39.6640625" customWidth="1"/>
    <col min="3" max="3" width="16.77734375" style="21" customWidth="1"/>
  </cols>
  <sheetData>
    <row r="1" spans="1:3" ht="15" thickTop="1">
      <c r="A1" s="18" t="s">
        <v>0</v>
      </c>
      <c r="B1" s="4" t="s">
        <v>1</v>
      </c>
      <c r="C1" s="20" t="s">
        <v>3</v>
      </c>
    </row>
    <row r="2" spans="1:3">
      <c r="A2" s="19" t="str">
        <f>'Project Builder'!A3</f>
        <v>House</v>
      </c>
      <c r="B2" t="str">
        <f>'Project Builder'!E3</f>
        <v>Hourly (Carp)</v>
      </c>
      <c r="C2" s="21">
        <f>'Project Builder'!G3</f>
        <v>50</v>
      </c>
    </row>
    <row r="3" spans="1:3">
      <c r="A3" s="19" t="str">
        <f>'Project Builder'!D6</f>
        <v>Debris Removal</v>
      </c>
      <c r="B3" t="str">
        <f>'Project Builder'!E6</f>
        <v>Dump tailer rent per day</v>
      </c>
      <c r="C3" s="21">
        <f>'Project Builder'!G6</f>
        <v>1</v>
      </c>
    </row>
    <row r="4" spans="1:3">
      <c r="A4" s="19" t="str">
        <f>'Project Builder'!D8</f>
        <v>Top Bottom Plates</v>
      </c>
      <c r="B4" t="str">
        <f>'Project Builder'!E8</f>
        <v xml:space="preserve">2x6x16 </v>
      </c>
      <c r="C4" s="21">
        <f>'Project Builder'!G8</f>
        <v>20</v>
      </c>
    </row>
    <row r="5" spans="1:3">
      <c r="A5" s="19" t="str">
        <f>'Project Builder'!D9</f>
        <v>Wall Studs</v>
      </c>
      <c r="B5" t="str">
        <f>'Project Builder'!E9</f>
        <v>2x4x92 5/8"</v>
      </c>
      <c r="C5" s="21">
        <f>'Project Builder'!G9</f>
        <v>100</v>
      </c>
    </row>
    <row r="6" spans="1:3">
      <c r="A6" s="19">
        <f>'Project Builder'!D10</f>
        <v>0</v>
      </c>
      <c r="B6" t="str">
        <f>'Project Builder'!E10</f>
        <v>2x6x92 5/8"</v>
      </c>
      <c r="C6" s="21">
        <f>'Project Builder'!G10</f>
        <v>50</v>
      </c>
    </row>
    <row r="7" spans="1:3">
      <c r="A7" s="19" t="str">
        <f>'Project Builder'!D11</f>
        <v>Gream room wall Studs</v>
      </c>
      <c r="B7" t="str">
        <f>'Project Builder'!E11</f>
        <v xml:space="preserve">2x6x16 </v>
      </c>
      <c r="C7" s="21">
        <f>'Project Builder'!G11</f>
        <v>26</v>
      </c>
    </row>
    <row r="8" spans="1:3">
      <c r="A8" s="19" t="str">
        <f>'Project Builder'!D12</f>
        <v>Accessories</v>
      </c>
      <c r="B8" t="str">
        <f>'Project Builder'!E12</f>
        <v>5 1/2"x50' Sill Seal</v>
      </c>
      <c r="C8" s="21">
        <f>'Project Builder'!G12</f>
        <v>1</v>
      </c>
    </row>
    <row r="9" spans="1:3">
      <c r="A9" s="19">
        <f>'Project Builder'!D13</f>
        <v>0</v>
      </c>
      <c r="B9" t="str">
        <f>'Project Builder'!E13</f>
        <v>1/2"x5" Titan anchor bolt</v>
      </c>
      <c r="C9" s="21">
        <f>'Project Builder'!G13</f>
        <v>10</v>
      </c>
    </row>
    <row r="10" spans="1:3">
      <c r="A10" s="19">
        <f>'Project Builder'!D14</f>
        <v>0</v>
      </c>
      <c r="B10" t="str">
        <f>'Project Builder'!E14</f>
        <v>SUBFLOOR Glue 28OZ</v>
      </c>
      <c r="C10" s="21">
        <f>'Project Builder'!G14</f>
        <v>20</v>
      </c>
    </row>
    <row r="11" spans="1:3">
      <c r="A11" s="19">
        <f>'Project Builder'!D15</f>
        <v>0</v>
      </c>
      <c r="B11" t="str">
        <f>'Project Builder'!E15</f>
        <v xml:space="preserve">   </v>
      </c>
      <c r="C11" s="21">
        <f>'Project Builder'!G15</f>
        <v>0</v>
      </c>
    </row>
    <row r="12" spans="1:3">
      <c r="A12" s="19">
        <f>'Project Builder'!D16</f>
        <v>0</v>
      </c>
      <c r="B12" t="str">
        <f>'Project Builder'!E16</f>
        <v xml:space="preserve">   </v>
      </c>
      <c r="C12" s="21">
        <f>'Project Builder'!G16</f>
        <v>0</v>
      </c>
    </row>
    <row r="13" spans="1:3">
      <c r="A13" s="19">
        <f>'Project Builder'!D17</f>
        <v>0</v>
      </c>
      <c r="B13" t="str">
        <f>'Project Builder'!E17</f>
        <v xml:space="preserve">   </v>
      </c>
      <c r="C13" s="21">
        <f>'Project Builder'!G17</f>
        <v>0</v>
      </c>
    </row>
    <row r="14" spans="1:3">
      <c r="A14" s="19">
        <f>'Project Builder'!D18</f>
        <v>0</v>
      </c>
      <c r="B14" t="str">
        <f>'Project Builder'!E18</f>
        <v xml:space="preserve">   </v>
      </c>
      <c r="C14" s="21">
        <f>'Project Builder'!G18</f>
        <v>0</v>
      </c>
    </row>
    <row r="15" spans="1:3">
      <c r="A15" s="19">
        <f>'Project Builder'!D19</f>
        <v>0</v>
      </c>
      <c r="B15" t="str">
        <f>'Project Builder'!E19</f>
        <v xml:space="preserve">   </v>
      </c>
      <c r="C15" s="21">
        <f>'Project Builder'!G19</f>
        <v>0</v>
      </c>
    </row>
    <row r="16" spans="1:3">
      <c r="A16" s="19">
        <f>'Project Builder'!D20</f>
        <v>0</v>
      </c>
      <c r="B16" t="str">
        <f>'Project Builder'!E20</f>
        <v xml:space="preserve">   </v>
      </c>
      <c r="C16" s="21">
        <f>'Project Builder'!G20</f>
        <v>0</v>
      </c>
    </row>
    <row r="17" spans="1:3">
      <c r="A17" s="19">
        <f>'Project Builder'!D21</f>
        <v>0</v>
      </c>
      <c r="B17" t="str">
        <f>'Project Builder'!E21</f>
        <v xml:space="preserve">   </v>
      </c>
      <c r="C17" s="21">
        <f>'Project Builder'!G21</f>
        <v>0</v>
      </c>
    </row>
    <row r="18" spans="1:3">
      <c r="A18" s="19">
        <f>'Project Builder'!D22</f>
        <v>0</v>
      </c>
      <c r="B18" t="str">
        <f>'Project Builder'!E22</f>
        <v xml:space="preserve">   </v>
      </c>
      <c r="C18" s="21">
        <f>'Project Builder'!G22</f>
        <v>0</v>
      </c>
    </row>
    <row r="19" spans="1:3">
      <c r="A19" s="19">
        <f>'Project Builder'!D23</f>
        <v>0</v>
      </c>
      <c r="B19" t="str">
        <f>'Project Builder'!E23</f>
        <v xml:space="preserve">   </v>
      </c>
      <c r="C19" s="21">
        <f>'Project Builder'!G23</f>
        <v>0</v>
      </c>
    </row>
    <row r="20" spans="1:3">
      <c r="A20" s="19">
        <f>'Project Builder'!D24</f>
        <v>0</v>
      </c>
      <c r="B20" t="str">
        <f>'Project Builder'!E24</f>
        <v xml:space="preserve">   </v>
      </c>
      <c r="C20" s="21">
        <f>'Project Builder'!G24</f>
        <v>0</v>
      </c>
    </row>
    <row r="21" spans="1:3">
      <c r="A21" s="19">
        <f>'Project Builder'!D25</f>
        <v>0</v>
      </c>
      <c r="B21" t="str">
        <f>'Project Builder'!E25</f>
        <v xml:space="preserve">   </v>
      </c>
      <c r="C21" s="21">
        <f>'Project Builder'!G25</f>
        <v>0</v>
      </c>
    </row>
    <row r="22" spans="1:3">
      <c r="A22" s="19">
        <f>'Project Builder'!D26</f>
        <v>0</v>
      </c>
      <c r="B22" t="str">
        <f>'Project Builder'!E26</f>
        <v xml:space="preserve">   </v>
      </c>
      <c r="C22" s="21">
        <f>'Project Builder'!G26</f>
        <v>0</v>
      </c>
    </row>
    <row r="23" spans="1:3">
      <c r="A23" s="19">
        <f>'Project Builder'!D27</f>
        <v>0</v>
      </c>
      <c r="B23" t="str">
        <f>'Project Builder'!E27</f>
        <v xml:space="preserve">   </v>
      </c>
      <c r="C23" s="21">
        <f>'Project Builder'!G27</f>
        <v>0</v>
      </c>
    </row>
    <row r="24" spans="1:3">
      <c r="A24" s="19">
        <f>'Project Builder'!D28</f>
        <v>0</v>
      </c>
      <c r="B24" t="str">
        <f>'Project Builder'!E28</f>
        <v xml:space="preserve">   </v>
      </c>
      <c r="C24" s="21">
        <f>'Project Builder'!G28</f>
        <v>0</v>
      </c>
    </row>
    <row r="25" spans="1:3">
      <c r="A25" s="19">
        <f>'Project Builder'!D29</f>
        <v>0</v>
      </c>
      <c r="B25" t="str">
        <f>'Project Builder'!E29</f>
        <v xml:space="preserve">   </v>
      </c>
      <c r="C25" s="21">
        <f>'Project Builder'!G29</f>
        <v>0</v>
      </c>
    </row>
    <row r="26" spans="1:3">
      <c r="A26" s="19">
        <f>'Project Builder'!D30</f>
        <v>0</v>
      </c>
      <c r="B26" t="str">
        <f>'Project Builder'!E30</f>
        <v xml:space="preserve">   </v>
      </c>
      <c r="C26" s="21">
        <f>'Project Builder'!G30</f>
        <v>0</v>
      </c>
    </row>
    <row r="27" spans="1:3">
      <c r="A27" s="19">
        <f>'Project Builder'!D31</f>
        <v>0</v>
      </c>
      <c r="B27" t="str">
        <f>'Project Builder'!E31</f>
        <v xml:space="preserve">   </v>
      </c>
      <c r="C27" s="21">
        <f>'Project Builder'!G31</f>
        <v>0</v>
      </c>
    </row>
    <row r="28" spans="1:3">
      <c r="A28" s="19">
        <f>'Project Builder'!D32</f>
        <v>0</v>
      </c>
      <c r="B28" t="str">
        <f>'Project Builder'!E32</f>
        <v xml:space="preserve">   </v>
      </c>
      <c r="C28" s="21">
        <f>'Project Builder'!G32</f>
        <v>0</v>
      </c>
    </row>
    <row r="29" spans="1:3">
      <c r="A29" s="19">
        <f>'Project Builder'!D33</f>
        <v>0</v>
      </c>
      <c r="B29" t="str">
        <f>'Project Builder'!E33</f>
        <v xml:space="preserve">   </v>
      </c>
      <c r="C29" s="21">
        <f>'Project Builder'!G33</f>
        <v>0</v>
      </c>
    </row>
    <row r="30" spans="1:3">
      <c r="A30" s="19">
        <f>'Project Builder'!D34</f>
        <v>0</v>
      </c>
      <c r="B30" t="str">
        <f>'Project Builder'!E34</f>
        <v xml:space="preserve">   </v>
      </c>
      <c r="C30" s="21">
        <f>'Project Builder'!G34</f>
        <v>0</v>
      </c>
    </row>
    <row r="31" spans="1:3">
      <c r="A31" s="19">
        <f>'Project Builder'!D35</f>
        <v>0</v>
      </c>
      <c r="B31" t="str">
        <f>'Project Builder'!E35</f>
        <v xml:space="preserve">   </v>
      </c>
      <c r="C31" s="21">
        <f>'Project Builder'!G35</f>
        <v>0</v>
      </c>
    </row>
    <row r="32" spans="1:3">
      <c r="A32" s="19">
        <f>'Project Builder'!D36</f>
        <v>0</v>
      </c>
      <c r="B32" t="str">
        <f>'Project Builder'!E36</f>
        <v xml:space="preserve">   </v>
      </c>
      <c r="C32" s="21">
        <f>'Project Builder'!G36</f>
        <v>0</v>
      </c>
    </row>
    <row r="33" spans="1:3">
      <c r="A33" s="19">
        <f>'Project Builder'!D37</f>
        <v>0</v>
      </c>
      <c r="B33" t="str">
        <f>'Project Builder'!E37</f>
        <v xml:space="preserve">   </v>
      </c>
      <c r="C33" s="21">
        <f>'Project Builder'!G37</f>
        <v>0</v>
      </c>
    </row>
    <row r="34" spans="1:3">
      <c r="A34" s="19">
        <f>'Project Builder'!D38</f>
        <v>0</v>
      </c>
      <c r="B34" t="str">
        <f>'Project Builder'!E38</f>
        <v xml:space="preserve">   </v>
      </c>
      <c r="C34" s="21">
        <f>'Project Builder'!G38</f>
        <v>0</v>
      </c>
    </row>
    <row r="35" spans="1:3">
      <c r="A35" s="19">
        <f>'Project Builder'!D39</f>
        <v>0</v>
      </c>
      <c r="B35" t="str">
        <f>'Project Builder'!E39</f>
        <v xml:space="preserve">   </v>
      </c>
      <c r="C35" s="21">
        <f>'Project Builder'!G39</f>
        <v>0</v>
      </c>
    </row>
    <row r="36" spans="1:3">
      <c r="A36" s="19">
        <f>'Project Builder'!D40</f>
        <v>0</v>
      </c>
      <c r="B36" t="str">
        <f>'Project Builder'!E40</f>
        <v xml:space="preserve">   </v>
      </c>
      <c r="C36" s="21">
        <f>'Project Builder'!G40</f>
        <v>0</v>
      </c>
    </row>
    <row r="37" spans="1:3">
      <c r="A37" s="19">
        <f>'Project Builder'!D41</f>
        <v>0</v>
      </c>
      <c r="B37" t="str">
        <f>'Project Builder'!E41</f>
        <v xml:space="preserve">   </v>
      </c>
      <c r="C37" s="21">
        <f>'Project Builder'!G41</f>
        <v>0</v>
      </c>
    </row>
    <row r="38" spans="1:3">
      <c r="A38" s="19">
        <f>'Project Builder'!D42</f>
        <v>0</v>
      </c>
      <c r="B38" t="str">
        <f>'Project Builder'!E42</f>
        <v xml:space="preserve">   </v>
      </c>
      <c r="C38" s="21">
        <f>'Project Builder'!G42</f>
        <v>0</v>
      </c>
    </row>
    <row r="39" spans="1:3">
      <c r="A39" s="19">
        <f>'Project Builder'!D43</f>
        <v>0</v>
      </c>
      <c r="B39" t="str">
        <f>'Project Builder'!E43</f>
        <v xml:space="preserve">   </v>
      </c>
      <c r="C39" s="21">
        <f>'Project Builder'!G43</f>
        <v>0</v>
      </c>
    </row>
    <row r="40" spans="1:3">
      <c r="A40" s="19">
        <f>'Project Builder'!D44</f>
        <v>0</v>
      </c>
      <c r="B40" t="str">
        <f>'Project Builder'!E44</f>
        <v xml:space="preserve">   </v>
      </c>
      <c r="C40" s="21">
        <f>'Project Builder'!G44</f>
        <v>0</v>
      </c>
    </row>
    <row r="41" spans="1:3">
      <c r="A41" s="19">
        <f>'Project Builder'!D45</f>
        <v>0</v>
      </c>
      <c r="B41" t="str">
        <f>'Project Builder'!E45</f>
        <v xml:space="preserve">   </v>
      </c>
      <c r="C41" s="21">
        <f>'Project Builder'!G45</f>
        <v>0</v>
      </c>
    </row>
    <row r="42" spans="1:3">
      <c r="A42" s="19">
        <f>'Project Builder'!D46</f>
        <v>0</v>
      </c>
      <c r="B42" t="str">
        <f>'Project Builder'!E46</f>
        <v xml:space="preserve">   </v>
      </c>
      <c r="C42" s="21">
        <f>'Project Builder'!G46</f>
        <v>0</v>
      </c>
    </row>
    <row r="43" spans="1:3">
      <c r="A43" s="19">
        <f>'Project Builder'!D47</f>
        <v>0</v>
      </c>
      <c r="B43" t="str">
        <f>'Project Builder'!E47</f>
        <v xml:space="preserve">   </v>
      </c>
      <c r="C43" s="21">
        <f>'Project Builder'!G47</f>
        <v>0</v>
      </c>
    </row>
    <row r="44" spans="1:3">
      <c r="A44" s="19">
        <f>'Project Builder'!D48</f>
        <v>0</v>
      </c>
      <c r="B44" t="str">
        <f>'Project Builder'!E48</f>
        <v xml:space="preserve">   </v>
      </c>
      <c r="C44" s="21">
        <f>'Project Builder'!G48</f>
        <v>0</v>
      </c>
    </row>
    <row r="45" spans="1:3">
      <c r="A45" s="19">
        <f>'Project Builder'!D49</f>
        <v>0</v>
      </c>
      <c r="B45" t="str">
        <f>'Project Builder'!E49</f>
        <v xml:space="preserve">   </v>
      </c>
      <c r="C45" s="21">
        <f>'Project Builder'!G49</f>
        <v>0</v>
      </c>
    </row>
  </sheetData>
  <pageMargins left="0.7" right="0.7" top="0.75" bottom="0.75" header="0.3" footer="0.3"/>
  <pageSetup orientation="portrait" horizontalDpi="300" r:id="rId1"/>
  <headerFooter>
    <oddHeader>&amp;C&amp;"-,Bold"&amp;22Jobsite Material List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7798-BAE9-4BF7-9E66-4A47775114C9}">
  <sheetPr codeName="Sheet3"/>
  <dimension ref="A1:D170"/>
  <sheetViews>
    <sheetView zoomScaleNormal="100" workbookViewId="0">
      <selection activeCell="A14" sqref="A14"/>
    </sheetView>
  </sheetViews>
  <sheetFormatPr defaultColWidth="8.77734375" defaultRowHeight="14.4"/>
  <cols>
    <col min="1" max="1" width="87.6640625" style="24" customWidth="1"/>
    <col min="2" max="2" width="18.6640625" style="37" customWidth="1"/>
    <col min="3" max="3" width="16.77734375" style="21" customWidth="1"/>
    <col min="4" max="4" width="18.109375" customWidth="1"/>
  </cols>
  <sheetData>
    <row r="1" spans="1:4" ht="36" customHeight="1" thickBot="1">
      <c r="A1" s="22" t="s">
        <v>323</v>
      </c>
      <c r="B1" s="36"/>
      <c r="C1" s="22"/>
    </row>
    <row r="2" spans="1:4" ht="15" thickTop="1">
      <c r="A2" s="25" t="s">
        <v>1</v>
      </c>
      <c r="B2" s="25" t="s">
        <v>3</v>
      </c>
      <c r="C2" s="23"/>
      <c r="D2" s="5"/>
    </row>
    <row r="3" spans="1:4">
      <c r="A3" s="38" t="s">
        <v>526</v>
      </c>
      <c r="B3" s="24">
        <v>50</v>
      </c>
      <c r="C3"/>
    </row>
    <row r="4" spans="1:4">
      <c r="A4" s="24" t="s">
        <v>529</v>
      </c>
      <c r="B4" s="39">
        <v>1</v>
      </c>
      <c r="C4" s="38"/>
    </row>
    <row r="5" spans="1:4">
      <c r="A5" s="24" t="s">
        <v>20</v>
      </c>
      <c r="B5" s="39">
        <v>46</v>
      </c>
      <c r="C5" s="38"/>
    </row>
    <row r="6" spans="1:4">
      <c r="A6" s="24" t="s">
        <v>31</v>
      </c>
      <c r="B6" s="39">
        <v>100</v>
      </c>
      <c r="C6" s="38"/>
    </row>
    <row r="7" spans="1:4">
      <c r="A7" s="24" t="s">
        <v>16</v>
      </c>
      <c r="B7" s="39">
        <v>50</v>
      </c>
      <c r="C7" s="38"/>
    </row>
    <row r="8" spans="1:4">
      <c r="A8" s="24" t="s">
        <v>15</v>
      </c>
      <c r="B8" s="39">
        <v>1</v>
      </c>
      <c r="C8" s="24"/>
    </row>
    <row r="9" spans="1:4">
      <c r="A9" s="24" t="s">
        <v>478</v>
      </c>
      <c r="B9" s="39">
        <v>10</v>
      </c>
      <c r="C9" s="24"/>
    </row>
    <row r="10" spans="1:4">
      <c r="A10" s="24" t="s">
        <v>477</v>
      </c>
      <c r="B10" s="39">
        <v>20</v>
      </c>
      <c r="C10" s="38"/>
    </row>
    <row r="11" spans="1:4">
      <c r="C11" s="38"/>
    </row>
    <row r="12" spans="1:4">
      <c r="C12" s="38"/>
    </row>
    <row r="13" spans="1:4">
      <c r="C13" s="38"/>
    </row>
    <row r="14" spans="1:4">
      <c r="C14" s="38"/>
    </row>
    <row r="15" spans="1:4">
      <c r="C15" s="38"/>
    </row>
    <row r="16" spans="1:4">
      <c r="C16" s="38"/>
    </row>
    <row r="17" spans="3:3">
      <c r="C17" s="38"/>
    </row>
    <row r="18" spans="3:3">
      <c r="C18" s="38"/>
    </row>
    <row r="19" spans="3:3">
      <c r="C19" s="38"/>
    </row>
    <row r="20" spans="3:3">
      <c r="C20" s="38"/>
    </row>
    <row r="21" spans="3:3">
      <c r="C21" s="38"/>
    </row>
    <row r="22" spans="3:3">
      <c r="C22" s="38"/>
    </row>
    <row r="23" spans="3:3">
      <c r="C23" s="38"/>
    </row>
    <row r="24" spans="3:3">
      <c r="C24" s="38"/>
    </row>
    <row r="25" spans="3:3">
      <c r="C25" s="38"/>
    </row>
    <row r="26" spans="3:3">
      <c r="C26" s="38"/>
    </row>
    <row r="27" spans="3:3">
      <c r="C27" s="38"/>
    </row>
    <row r="28" spans="3:3">
      <c r="C28" s="38"/>
    </row>
    <row r="29" spans="3:3">
      <c r="C29" s="38"/>
    </row>
    <row r="30" spans="3:3">
      <c r="C30" s="35"/>
    </row>
    <row r="31" spans="3:3">
      <c r="C31" s="35"/>
    </row>
    <row r="32" spans="3:3">
      <c r="C32" s="35"/>
    </row>
    <row r="33" spans="3:3">
      <c r="C33" s="35"/>
    </row>
    <row r="34" spans="3:3">
      <c r="C34" s="35"/>
    </row>
    <row r="35" spans="3:3">
      <c r="C35" s="35"/>
    </row>
    <row r="36" spans="3:3">
      <c r="C36" s="35"/>
    </row>
    <row r="37" spans="3:3">
      <c r="C37" s="35"/>
    </row>
    <row r="38" spans="3:3">
      <c r="C38" s="35"/>
    </row>
    <row r="39" spans="3:3">
      <c r="C39" s="35"/>
    </row>
    <row r="40" spans="3:3">
      <c r="C40" s="35"/>
    </row>
    <row r="41" spans="3:3">
      <c r="C41" s="35"/>
    </row>
    <row r="42" spans="3:3">
      <c r="C42" s="35"/>
    </row>
    <row r="43" spans="3:3">
      <c r="C43" s="35"/>
    </row>
    <row r="44" spans="3:3">
      <c r="C44" s="35"/>
    </row>
    <row r="45" spans="3:3">
      <c r="C45" s="35"/>
    </row>
    <row r="46" spans="3:3">
      <c r="C46" s="35"/>
    </row>
    <row r="47" spans="3:3">
      <c r="C47" s="35"/>
    </row>
    <row r="48" spans="3:3">
      <c r="C48" s="35"/>
    </row>
    <row r="49" spans="3:3">
      <c r="C49" s="35"/>
    </row>
    <row r="50" spans="3:3">
      <c r="C50" s="35"/>
    </row>
    <row r="51" spans="3:3">
      <c r="C51" s="35"/>
    </row>
    <row r="52" spans="3:3">
      <c r="C52" s="35"/>
    </row>
    <row r="53" spans="3:3">
      <c r="C53" s="35"/>
    </row>
    <row r="54" spans="3:3">
      <c r="C54" s="35"/>
    </row>
    <row r="55" spans="3:3">
      <c r="C55" s="35"/>
    </row>
    <row r="56" spans="3:3">
      <c r="C56" s="35"/>
    </row>
    <row r="57" spans="3:3">
      <c r="C57" s="35"/>
    </row>
    <row r="58" spans="3:3">
      <c r="C58" s="35"/>
    </row>
    <row r="59" spans="3:3">
      <c r="C59" s="35"/>
    </row>
    <row r="60" spans="3:3">
      <c r="C60" s="35"/>
    </row>
    <row r="61" spans="3:3">
      <c r="C61" s="35"/>
    </row>
    <row r="62" spans="3:3">
      <c r="C62" s="35"/>
    </row>
    <row r="63" spans="3:3">
      <c r="C63" s="35"/>
    </row>
    <row r="64" spans="3:3">
      <c r="C64" s="35"/>
    </row>
    <row r="65" spans="3:3">
      <c r="C65" s="35"/>
    </row>
    <row r="66" spans="3:3">
      <c r="C66" s="35"/>
    </row>
    <row r="67" spans="3:3">
      <c r="C67" s="35"/>
    </row>
    <row r="68" spans="3:3">
      <c r="C68" s="35"/>
    </row>
    <row r="69" spans="3:3">
      <c r="C69" s="35"/>
    </row>
    <row r="70" spans="3:3">
      <c r="C70" s="35"/>
    </row>
    <row r="71" spans="3:3">
      <c r="C71" s="35"/>
    </row>
    <row r="72" spans="3:3">
      <c r="C72" s="35"/>
    </row>
    <row r="73" spans="3:3">
      <c r="C73" s="35"/>
    </row>
    <row r="74" spans="3:3">
      <c r="C74" s="35"/>
    </row>
    <row r="75" spans="3:3">
      <c r="C75" s="35"/>
    </row>
    <row r="76" spans="3:3">
      <c r="C76" s="35"/>
    </row>
    <row r="77" spans="3:3">
      <c r="C77" s="35"/>
    </row>
    <row r="78" spans="3:3">
      <c r="C78" s="35"/>
    </row>
    <row r="79" spans="3:3">
      <c r="C79" s="24"/>
    </row>
    <row r="80" spans="3:3">
      <c r="C80" s="24"/>
    </row>
    <row r="81" spans="3:3">
      <c r="C81" s="24"/>
    </row>
    <row r="82" spans="3:3">
      <c r="C82" s="24"/>
    </row>
    <row r="83" spans="3:3">
      <c r="C83" s="24"/>
    </row>
    <row r="84" spans="3:3">
      <c r="C84" s="24"/>
    </row>
    <row r="85" spans="3:3">
      <c r="C85" s="24"/>
    </row>
    <row r="86" spans="3:3">
      <c r="C86" s="24"/>
    </row>
    <row r="87" spans="3:3">
      <c r="C87" s="24"/>
    </row>
    <row r="88" spans="3:3">
      <c r="C88" s="24"/>
    </row>
    <row r="89" spans="3:3">
      <c r="C89" s="24"/>
    </row>
    <row r="90" spans="3:3">
      <c r="C90" s="24"/>
    </row>
    <row r="91" spans="3:3">
      <c r="C91" s="24"/>
    </row>
    <row r="92" spans="3:3">
      <c r="C92" s="24"/>
    </row>
    <row r="93" spans="3:3">
      <c r="C93" s="24"/>
    </row>
    <row r="94" spans="3:3">
      <c r="C94" s="24"/>
    </row>
    <row r="95" spans="3:3">
      <c r="C95" s="24"/>
    </row>
    <row r="96" spans="3:3">
      <c r="C96" s="24"/>
    </row>
    <row r="97" spans="3:3">
      <c r="C97" s="24"/>
    </row>
    <row r="98" spans="3:3">
      <c r="C98" s="24"/>
    </row>
    <row r="99" spans="3:3">
      <c r="C99" s="24"/>
    </row>
    <row r="100" spans="3:3">
      <c r="C100" s="24"/>
    </row>
    <row r="101" spans="3:3">
      <c r="C101" s="24"/>
    </row>
    <row r="102" spans="3:3">
      <c r="C102" s="24"/>
    </row>
    <row r="103" spans="3:3">
      <c r="C103" s="24"/>
    </row>
    <row r="104" spans="3:3">
      <c r="C104" s="24"/>
    </row>
    <row r="105" spans="3:3">
      <c r="C105" s="24"/>
    </row>
    <row r="106" spans="3:3">
      <c r="C106" s="24"/>
    </row>
    <row r="107" spans="3:3">
      <c r="C107" s="24"/>
    </row>
    <row r="108" spans="3:3">
      <c r="C108" s="24"/>
    </row>
    <row r="109" spans="3:3">
      <c r="C109" s="24"/>
    </row>
    <row r="110" spans="3:3">
      <c r="C110" s="24"/>
    </row>
    <row r="111" spans="3:3">
      <c r="C111" s="24"/>
    </row>
    <row r="112" spans="3:3">
      <c r="C112" s="24"/>
    </row>
    <row r="113" spans="3:3">
      <c r="C113" s="24"/>
    </row>
    <row r="114" spans="3:3">
      <c r="C114" s="24"/>
    </row>
    <row r="115" spans="3:3">
      <c r="C115" s="24"/>
    </row>
    <row r="116" spans="3:3">
      <c r="C116" s="24"/>
    </row>
    <row r="117" spans="3:3">
      <c r="C117" s="24"/>
    </row>
    <row r="118" spans="3:3">
      <c r="C118" s="24"/>
    </row>
    <row r="119" spans="3:3">
      <c r="C119" s="24"/>
    </row>
    <row r="120" spans="3:3">
      <c r="C120" s="24"/>
    </row>
    <row r="121" spans="3:3">
      <c r="C121" s="24"/>
    </row>
    <row r="122" spans="3:3">
      <c r="C122" s="24"/>
    </row>
    <row r="123" spans="3:3">
      <c r="C123" s="24"/>
    </row>
    <row r="124" spans="3:3">
      <c r="C124" s="24"/>
    </row>
    <row r="125" spans="3:3">
      <c r="C125" s="24"/>
    </row>
    <row r="126" spans="3:3">
      <c r="C126" s="24"/>
    </row>
    <row r="127" spans="3:3">
      <c r="C127" s="24"/>
    </row>
    <row r="128" spans="3:3">
      <c r="C128" s="24"/>
    </row>
    <row r="129" spans="3:3">
      <c r="C129" s="24"/>
    </row>
    <row r="130" spans="3:3">
      <c r="C130" s="24"/>
    </row>
    <row r="131" spans="3:3">
      <c r="C131" s="24"/>
    </row>
    <row r="132" spans="3:3">
      <c r="C132" s="24"/>
    </row>
    <row r="133" spans="3:3">
      <c r="C133" s="24"/>
    </row>
    <row r="134" spans="3:3">
      <c r="C134" s="24"/>
    </row>
    <row r="135" spans="3:3">
      <c r="C135" s="24"/>
    </row>
    <row r="136" spans="3:3">
      <c r="C136" s="24"/>
    </row>
    <row r="137" spans="3:3">
      <c r="C137" s="24"/>
    </row>
    <row r="138" spans="3:3">
      <c r="C138" s="24"/>
    </row>
    <row r="139" spans="3:3">
      <c r="C139" s="24"/>
    </row>
    <row r="140" spans="3:3">
      <c r="C140" s="24"/>
    </row>
    <row r="141" spans="3:3">
      <c r="C141" s="24"/>
    </row>
    <row r="142" spans="3:3">
      <c r="C142" s="24"/>
    </row>
    <row r="143" spans="3:3">
      <c r="C143" s="24"/>
    </row>
    <row r="144" spans="3:3">
      <c r="C144" s="24"/>
    </row>
    <row r="145" spans="3:3">
      <c r="C145" s="24"/>
    </row>
    <row r="146" spans="3:3">
      <c r="C146" s="24"/>
    </row>
    <row r="147" spans="3:3">
      <c r="C147" s="24"/>
    </row>
    <row r="148" spans="3:3">
      <c r="C148" s="24"/>
    </row>
    <row r="149" spans="3:3">
      <c r="C149" s="24"/>
    </row>
    <row r="150" spans="3:3">
      <c r="C150" s="24"/>
    </row>
    <row r="151" spans="3:3">
      <c r="C151" s="24"/>
    </row>
    <row r="152" spans="3:3">
      <c r="C152" s="24"/>
    </row>
    <row r="153" spans="3:3">
      <c r="C153" s="24"/>
    </row>
    <row r="154" spans="3:3">
      <c r="C154" s="24"/>
    </row>
    <row r="155" spans="3:3">
      <c r="C155" s="24"/>
    </row>
    <row r="156" spans="3:3">
      <c r="C156" s="24"/>
    </row>
    <row r="157" spans="3:3">
      <c r="C157" s="24"/>
    </row>
    <row r="158" spans="3:3">
      <c r="C158" s="24"/>
    </row>
    <row r="159" spans="3:3">
      <c r="C159" s="24"/>
    </row>
    <row r="160" spans="3:3">
      <c r="C160" s="24"/>
    </row>
    <row r="161" spans="1:3">
      <c r="A161" s="24">
        <f>'Project Builder'!E95</f>
        <v>0</v>
      </c>
      <c r="C161" s="24">
        <f>'Project Builder'!F95</f>
        <v>0</v>
      </c>
    </row>
    <row r="162" spans="1:3">
      <c r="A162" s="24">
        <f>'Project Builder'!E96</f>
        <v>0</v>
      </c>
      <c r="C162" s="24">
        <f>'Project Builder'!F96</f>
        <v>0</v>
      </c>
    </row>
    <row r="163" spans="1:3">
      <c r="A163" s="24">
        <f>'Project Builder'!E97</f>
        <v>0</v>
      </c>
      <c r="C163" s="24">
        <f>'Project Builder'!F97</f>
        <v>0</v>
      </c>
    </row>
    <row r="164" spans="1:3">
      <c r="A164" s="24">
        <f>'Project Builder'!E98</f>
        <v>0</v>
      </c>
      <c r="C164" s="24">
        <f>'Project Builder'!F98</f>
        <v>0</v>
      </c>
    </row>
    <row r="165" spans="1:3">
      <c r="A165" s="24">
        <f>'Project Builder'!E99</f>
        <v>0</v>
      </c>
      <c r="C165" s="24">
        <f>'Project Builder'!F99</f>
        <v>0</v>
      </c>
    </row>
    <row r="166" spans="1:3">
      <c r="A166" s="24">
        <f>'Project Builder'!E100</f>
        <v>0</v>
      </c>
      <c r="C166" s="24">
        <f>'Project Builder'!F100</f>
        <v>0</v>
      </c>
    </row>
    <row r="167" spans="1:3">
      <c r="A167" s="24">
        <f>'Project Builder'!E101</f>
        <v>0</v>
      </c>
      <c r="C167" s="24">
        <f>'Project Builder'!F101</f>
        <v>0</v>
      </c>
    </row>
    <row r="168" spans="1:3">
      <c r="A168" s="24">
        <f>'Project Builder'!E102</f>
        <v>0</v>
      </c>
      <c r="C168" s="24">
        <f>'Project Builder'!F102</f>
        <v>0</v>
      </c>
    </row>
    <row r="169" spans="1:3">
      <c r="A169" s="24">
        <f>'Project Builder'!E103</f>
        <v>0</v>
      </c>
      <c r="C169" s="24">
        <f>'Project Builder'!F103</f>
        <v>0</v>
      </c>
    </row>
    <row r="170" spans="1:3">
      <c r="A170" s="24">
        <f>'Project Builder'!E104</f>
        <v>0</v>
      </c>
      <c r="C170" s="24">
        <f>'Project Builder'!F104</f>
        <v>0</v>
      </c>
    </row>
  </sheetData>
  <dataConsolidate leftLabels="1">
    <dataRefs count="1">
      <dataRef ref="B2:C10" sheet="Jobsite Material List"/>
    </dataRefs>
  </dataConsolidate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BC13-BA72-4783-81AD-4D5141E7B9AB}">
  <sheetPr codeName="Sheet4"/>
  <dimension ref="A1:H45"/>
  <sheetViews>
    <sheetView tabSelected="1" zoomScaleNormal="100" zoomScaleSheetLayoutView="40" workbookViewId="0">
      <selection activeCell="H15" sqref="H15"/>
    </sheetView>
  </sheetViews>
  <sheetFormatPr defaultColWidth="8.77734375" defaultRowHeight="14.4"/>
  <cols>
    <col min="1" max="1" width="17.44140625" customWidth="1"/>
    <col min="2" max="2" width="8.109375" customWidth="1"/>
    <col min="3" max="3" width="12.77734375" style="11" customWidth="1"/>
    <col min="4" max="4" width="11.109375" style="11" customWidth="1"/>
    <col min="5" max="5" width="6.6640625" hidden="1" customWidth="1"/>
    <col min="6" max="6" width="17" customWidth="1"/>
    <col min="7" max="7" width="11.44140625" style="11" customWidth="1"/>
    <col min="8" max="8" width="13.33203125" customWidth="1"/>
  </cols>
  <sheetData>
    <row r="1" spans="1:8">
      <c r="A1" s="111" t="s">
        <v>378</v>
      </c>
      <c r="B1" s="112"/>
      <c r="C1" s="112"/>
      <c r="D1" s="27"/>
    </row>
    <row r="2" spans="1:8">
      <c r="A2" s="26"/>
      <c r="C2"/>
      <c r="D2" s="27"/>
    </row>
    <row r="3" spans="1:8">
      <c r="A3" s="2" t="s">
        <v>324</v>
      </c>
      <c r="C3" s="11" t="s">
        <v>325</v>
      </c>
      <c r="D3" s="11" t="s">
        <v>326</v>
      </c>
    </row>
    <row r="4" spans="1:8">
      <c r="C4" s="34">
        <v>3</v>
      </c>
      <c r="D4" s="34">
        <v>4</v>
      </c>
    </row>
    <row r="5" spans="1:8">
      <c r="A5" s="26" t="s">
        <v>327</v>
      </c>
      <c r="B5" t="s">
        <v>328</v>
      </c>
      <c r="C5" s="6" t="s">
        <v>325</v>
      </c>
      <c r="D5" s="11" t="s">
        <v>326</v>
      </c>
      <c r="F5" s="26" t="s">
        <v>329</v>
      </c>
      <c r="G5" s="11" t="s">
        <v>325</v>
      </c>
      <c r="H5" t="s">
        <v>326</v>
      </c>
    </row>
    <row r="6" spans="1:8">
      <c r="A6" s="2" t="s">
        <v>343</v>
      </c>
      <c r="C6" s="28">
        <f>C19*B20+C19</f>
        <v>9477.7800000000007</v>
      </c>
      <c r="D6" s="28">
        <f>D19*B20+D19</f>
        <v>6840</v>
      </c>
      <c r="E6" s="14"/>
      <c r="F6" s="1" t="s">
        <v>331</v>
      </c>
      <c r="G6" s="29">
        <f>C45-C42</f>
        <v>11855.879999999997</v>
      </c>
      <c r="H6" s="30">
        <f>C45-D42</f>
        <v>14185.279999999999</v>
      </c>
    </row>
    <row r="7" spans="1:8">
      <c r="A7" s="173" t="s">
        <v>381</v>
      </c>
      <c r="C7" s="28">
        <f>'Project Builder'!K3</f>
        <v>7798.1500000000005</v>
      </c>
      <c r="D7" s="11">
        <v>5600</v>
      </c>
      <c r="G7" s="29"/>
      <c r="H7" s="30"/>
    </row>
    <row r="8" spans="1:8">
      <c r="A8" s="172" t="s">
        <v>542</v>
      </c>
      <c r="C8" s="28">
        <v>0</v>
      </c>
      <c r="F8" t="s">
        <v>360</v>
      </c>
      <c r="G8" s="29">
        <f>SUM(C32:C36)*B31</f>
        <v>626.25</v>
      </c>
      <c r="H8" s="28">
        <f>SUM(D32:D36)*B31</f>
        <v>600</v>
      </c>
    </row>
    <row r="9" spans="1:8">
      <c r="A9" s="172"/>
      <c r="C9" s="28">
        <v>0</v>
      </c>
      <c r="F9" t="s">
        <v>330</v>
      </c>
      <c r="G9" s="29">
        <f>C19*B20</f>
        <v>1579.63</v>
      </c>
      <c r="H9" s="28">
        <f>D19*B20</f>
        <v>1140</v>
      </c>
    </row>
    <row r="10" spans="1:8">
      <c r="A10" s="172"/>
      <c r="C10" s="28">
        <v>0</v>
      </c>
      <c r="F10" t="s">
        <v>333</v>
      </c>
      <c r="G10" s="29">
        <f>SUM(C22:C25)*B21</f>
        <v>50</v>
      </c>
      <c r="H10" s="28">
        <f>SUM(D22:D25)*B21</f>
        <v>50</v>
      </c>
    </row>
    <row r="11" spans="1:8">
      <c r="A11" s="40" t="s">
        <v>368</v>
      </c>
      <c r="C11" s="28">
        <f>(VLOOKUP(A11,'Other $'!B:C,2,FALSE))*B11</f>
        <v>0</v>
      </c>
      <c r="F11" s="1" t="s">
        <v>380</v>
      </c>
      <c r="G11" s="29">
        <f>G6-G8-G9-G10</f>
        <v>9599.9999999999964</v>
      </c>
      <c r="H11" s="28">
        <f>H6-H8-H9-H10</f>
        <v>12395.279999999999</v>
      </c>
    </row>
    <row r="12" spans="1:8">
      <c r="A12" s="40" t="s">
        <v>368</v>
      </c>
      <c r="C12" s="28">
        <f>(VLOOKUP(A12,'Other $'!B:C,2,FALSE))*B12</f>
        <v>0</v>
      </c>
      <c r="F12" t="s">
        <v>545</v>
      </c>
      <c r="G12" s="14">
        <f>G11*0.15625</f>
        <v>1499.9999999999995</v>
      </c>
      <c r="H12" s="28">
        <f>H11*0.15625</f>
        <v>1936.7624999999998</v>
      </c>
    </row>
    <row r="13" spans="1:8">
      <c r="A13" s="40" t="s">
        <v>368</v>
      </c>
      <c r="C13" s="28">
        <f>(VLOOKUP(A13,'Other $'!B:C,2,FALSE))*B13</f>
        <v>0</v>
      </c>
      <c r="G13" s="29"/>
      <c r="H13" s="29"/>
    </row>
    <row r="14" spans="1:8">
      <c r="A14" s="40" t="s">
        <v>368</v>
      </c>
      <c r="C14" s="28">
        <f>(VLOOKUP(A14,'Other $'!B:C,2,FALSE))*B14</f>
        <v>0</v>
      </c>
      <c r="G14" s="29"/>
      <c r="H14" s="29"/>
    </row>
    <row r="15" spans="1:8">
      <c r="A15" s="40" t="s">
        <v>368</v>
      </c>
      <c r="C15" s="28">
        <f>(VLOOKUP(A15,'Other $'!B:C,2,FALSE))*B15</f>
        <v>0</v>
      </c>
      <c r="G15" s="29"/>
      <c r="H15" s="29"/>
    </row>
    <row r="16" spans="1:8">
      <c r="A16" s="40" t="s">
        <v>368</v>
      </c>
      <c r="C16" s="28">
        <f>(VLOOKUP(A16,'Other $'!B:C,2,FALSE))*B16</f>
        <v>0</v>
      </c>
      <c r="G16" s="29"/>
      <c r="H16" s="31"/>
    </row>
    <row r="17" spans="1:8">
      <c r="A17" s="40" t="s">
        <v>368</v>
      </c>
      <c r="C17" s="28">
        <f>(VLOOKUP(A17,'Other $'!B:C,2,FALSE))*B17</f>
        <v>0</v>
      </c>
      <c r="F17" s="1" t="s">
        <v>379</v>
      </c>
      <c r="G17" s="29">
        <f>G11-SUM(G12:G16)</f>
        <v>8099.9999999999964</v>
      </c>
      <c r="H17" s="29">
        <f>H11-SUM(H12:H16)</f>
        <v>10458.517499999998</v>
      </c>
    </row>
    <row r="18" spans="1:8">
      <c r="A18" t="s">
        <v>339</v>
      </c>
      <c r="C18" s="11">
        <v>100</v>
      </c>
      <c r="D18" s="11">
        <v>100</v>
      </c>
      <c r="F18" t="s">
        <v>335</v>
      </c>
      <c r="G18" s="29">
        <f>G17/3</f>
        <v>2699.9999999999986</v>
      </c>
      <c r="H18" s="30">
        <f>H17/3</f>
        <v>3486.1724999999992</v>
      </c>
    </row>
    <row r="19" spans="1:8">
      <c r="A19" t="s">
        <v>373</v>
      </c>
      <c r="C19" s="28">
        <f>SUM(C7:C18)</f>
        <v>7898.1500000000005</v>
      </c>
      <c r="D19" s="28">
        <f>SUM(D7:D18)</f>
        <v>5700</v>
      </c>
      <c r="F19" t="s">
        <v>336</v>
      </c>
      <c r="G19" s="29">
        <f>G17/3</f>
        <v>2699.9999999999986</v>
      </c>
      <c r="H19" s="29">
        <f>H17/3</f>
        <v>3486.1724999999992</v>
      </c>
    </row>
    <row r="20" spans="1:8">
      <c r="A20" t="s">
        <v>344</v>
      </c>
      <c r="B20" s="33">
        <v>0.2</v>
      </c>
      <c r="D20" s="42"/>
      <c r="F20" t="s">
        <v>337</v>
      </c>
      <c r="G20" s="29">
        <f>G17/3</f>
        <v>2699.9999999999986</v>
      </c>
      <c r="H20" s="29">
        <f>H17/3</f>
        <v>3486.1724999999992</v>
      </c>
    </row>
    <row r="21" spans="1:8">
      <c r="A21" s="3" t="s">
        <v>333</v>
      </c>
      <c r="B21" s="33">
        <v>0.1</v>
      </c>
      <c r="C21" s="28">
        <f>SUM(C22:C25)*B21+SUM(C22:C25)</f>
        <v>550</v>
      </c>
      <c r="D21" s="175">
        <f>SUM(D22:D25)*B21+SUM(D22:D25)</f>
        <v>550</v>
      </c>
      <c r="F21" t="s">
        <v>334</v>
      </c>
      <c r="G21" s="29">
        <f>G20/C4</f>
        <v>899.99999999999955</v>
      </c>
      <c r="H21" s="29">
        <f>H20/D4</f>
        <v>871.5431249999998</v>
      </c>
    </row>
    <row r="22" spans="1:8">
      <c r="A22" s="174" t="s">
        <v>544</v>
      </c>
      <c r="C22" s="28">
        <v>500</v>
      </c>
      <c r="D22" s="11">
        <v>500</v>
      </c>
      <c r="G22" s="14"/>
    </row>
    <row r="23" spans="1:8">
      <c r="A23" s="3"/>
      <c r="C23" s="28"/>
      <c r="G23" s="14"/>
      <c r="H23" s="31"/>
    </row>
    <row r="24" spans="1:8">
      <c r="F24" s="2" t="s">
        <v>340</v>
      </c>
      <c r="G24" s="29">
        <f>G6-SUM(G12:G16)</f>
        <v>10355.879999999997</v>
      </c>
      <c r="H24" s="29">
        <f>H6-SUM(H12:H16)</f>
        <v>12248.517499999998</v>
      </c>
    </row>
    <row r="25" spans="1:8">
      <c r="F25" t="s">
        <v>335</v>
      </c>
      <c r="G25" s="30">
        <f>G24/3</f>
        <v>3451.9599999999991</v>
      </c>
      <c r="H25" s="29">
        <f>H24/3</f>
        <v>4082.8391666666662</v>
      </c>
    </row>
    <row r="26" spans="1:8">
      <c r="A26" s="3" t="s">
        <v>374</v>
      </c>
      <c r="C26" s="28">
        <f>SUM(C27:C30)</f>
        <v>9600</v>
      </c>
      <c r="F26" t="s">
        <v>336</v>
      </c>
      <c r="G26" s="30">
        <f>G24/3</f>
        <v>3451.9599999999991</v>
      </c>
      <c r="H26" s="29">
        <f>H24/3</f>
        <v>4082.8391666666662</v>
      </c>
    </row>
    <row r="27" spans="1:8">
      <c r="A27" s="40" t="s">
        <v>370</v>
      </c>
      <c r="C27" s="28">
        <f>(VLOOKUP(A27,'Other $'!B:C,2,FALSE))*C4</f>
        <v>2700</v>
      </c>
      <c r="D27" s="28"/>
      <c r="F27" t="s">
        <v>337</v>
      </c>
      <c r="G27" s="30">
        <f>G24/3</f>
        <v>3451.9599999999991</v>
      </c>
      <c r="H27" s="29">
        <f>H24/3</f>
        <v>4082.8391666666662</v>
      </c>
    </row>
    <row r="28" spans="1:8">
      <c r="A28" s="40" t="s">
        <v>369</v>
      </c>
      <c r="C28" s="28">
        <f>(VLOOKUP(A28,'Other $'!B:C,2,FALSE))*C4</f>
        <v>2700</v>
      </c>
      <c r="D28" s="28"/>
      <c r="F28" t="s">
        <v>334</v>
      </c>
      <c r="G28" s="32">
        <f>G27/C4</f>
        <v>1150.653333333333</v>
      </c>
      <c r="H28" s="29">
        <f>H27/D4</f>
        <v>1020.7097916666665</v>
      </c>
    </row>
    <row r="29" spans="1:8">
      <c r="A29" s="40" t="s">
        <v>371</v>
      </c>
      <c r="C29" s="28">
        <f>(VLOOKUP(A29,'Other $'!B:C,2,FALSE))*C4</f>
        <v>2700</v>
      </c>
      <c r="D29" s="28"/>
      <c r="G29" s="32"/>
    </row>
    <row r="30" spans="1:8">
      <c r="A30" s="40" t="s">
        <v>543</v>
      </c>
      <c r="C30" s="28">
        <f>500*C4</f>
        <v>1500</v>
      </c>
      <c r="D30" s="28"/>
    </row>
    <row r="31" spans="1:8">
      <c r="A31" s="43" t="s">
        <v>360</v>
      </c>
      <c r="B31" s="33">
        <v>0.2</v>
      </c>
      <c r="C31" s="28">
        <f>SUM(C32:C36)*B31+SUM(C32:C36)</f>
        <v>3757.5</v>
      </c>
      <c r="D31" s="11">
        <f>SUM(D32:D36)*B31+SUM(D32:D36)</f>
        <v>3600</v>
      </c>
    </row>
    <row r="32" spans="1:8">
      <c r="A32" s="40" t="s">
        <v>508</v>
      </c>
      <c r="C32" s="28">
        <f>(VLOOKUP(A32,'Other $'!B:C,2,FALSE))*C4</f>
        <v>750</v>
      </c>
      <c r="D32" s="11">
        <v>800</v>
      </c>
    </row>
    <row r="33" spans="1:4">
      <c r="A33" s="40" t="s">
        <v>509</v>
      </c>
      <c r="C33" s="28">
        <f>(VLOOKUP(A33,'Other $'!B:C,2,FALSE))*C4</f>
        <v>881.25</v>
      </c>
      <c r="D33" s="11">
        <v>700</v>
      </c>
    </row>
    <row r="34" spans="1:4">
      <c r="A34" s="40" t="s">
        <v>510</v>
      </c>
      <c r="C34" s="28">
        <f>(VLOOKUP(A34,'Other $'!B:C,2,FALSE))*C4</f>
        <v>1500</v>
      </c>
      <c r="D34" s="11">
        <v>1500</v>
      </c>
    </row>
    <row r="35" spans="1:4">
      <c r="A35" s="40" t="s">
        <v>368</v>
      </c>
      <c r="C35" s="28">
        <f>(VLOOKUP(A35,'Other $'!B:C,2,FALSE))*C4</f>
        <v>0</v>
      </c>
    </row>
    <row r="36" spans="1:4">
      <c r="A36" s="40" t="s">
        <v>368</v>
      </c>
      <c r="C36" s="28">
        <f>(VLOOKUP(A36,'Other $'!B:C,2,FALSE))*C4</f>
        <v>0</v>
      </c>
    </row>
    <row r="37" spans="1:4">
      <c r="A37" s="3" t="s">
        <v>338</v>
      </c>
      <c r="C37" s="28">
        <f>SUM(C38:C41)</f>
        <v>0</v>
      </c>
      <c r="D37" s="11">
        <f>SUM(D38:D41)</f>
        <v>0</v>
      </c>
    </row>
    <row r="38" spans="1:4">
      <c r="A38" s="40" t="s">
        <v>368</v>
      </c>
      <c r="C38" s="28">
        <f>(VLOOKUP(A38,'Other $'!B:C,2,FALSE))*C4</f>
        <v>0</v>
      </c>
    </row>
    <row r="39" spans="1:4">
      <c r="A39" s="40" t="s">
        <v>368</v>
      </c>
      <c r="C39" s="28">
        <f>(VLOOKUP(A39,'Other $'!B:C,2,FALSE))*C4</f>
        <v>0</v>
      </c>
    </row>
    <row r="40" spans="1:4">
      <c r="A40" s="40" t="s">
        <v>368</v>
      </c>
      <c r="C40" s="28">
        <f>(VLOOKUP(A40,'Other $'!B:C,2,FALSE))*C4</f>
        <v>0</v>
      </c>
      <c r="D40" s="28"/>
    </row>
    <row r="41" spans="1:4">
      <c r="A41" s="40" t="s">
        <v>368</v>
      </c>
      <c r="C41" s="28">
        <f>(VLOOKUP(A41,'Other $'!B:C,2,FALSE))*C4</f>
        <v>0</v>
      </c>
      <c r="D41" s="28"/>
    </row>
    <row r="42" spans="1:4">
      <c r="A42" s="1" t="s">
        <v>341</v>
      </c>
      <c r="C42" s="28">
        <f>SUM(C38:C41,C32:C36,C22:C25,C19)</f>
        <v>11529.400000000001</v>
      </c>
      <c r="D42" s="28">
        <f>SUM(D38:D41,D32:D36,D22:D25,D19)</f>
        <v>9200</v>
      </c>
    </row>
    <row r="43" spans="1:4">
      <c r="A43" s="1" t="s">
        <v>375</v>
      </c>
      <c r="C43" s="28">
        <f>C45-C42</f>
        <v>11855.879999999997</v>
      </c>
      <c r="D43" s="28">
        <f>C45-D42</f>
        <v>14185.279999999999</v>
      </c>
    </row>
    <row r="45" spans="1:4">
      <c r="A45" s="1" t="s">
        <v>342</v>
      </c>
      <c r="C45" s="28">
        <f>SUM(C37,C31,C26,C21,C6)</f>
        <v>23385.279999999999</v>
      </c>
    </row>
  </sheetData>
  <dataConsolidate>
    <dataRefs count="1">
      <dataRef ref="C9" sheet="Sheet1" r:id="rId1"/>
    </dataRefs>
  </dataConsolidate>
  <mergeCells count="2">
    <mergeCell ref="A1:C1"/>
    <mergeCell ref="A8:A10"/>
  </mergeCells>
  <pageMargins left="0.7" right="0.7" top="0.75" bottom="0.75" header="0.3" footer="0.3"/>
  <pageSetup orientation="portrait" r:id="rId2"/>
  <headerFooter>
    <oddHeader>&amp;C&amp;"Walbaum Display SemiBold,Regular"&amp;24Project Income &amp; Expenses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51AA2080-7382-4B03-9031-EE9BE0570A86}">
          <x14:formula1>
            <xm:f>'Other $'!$B:$B</xm:f>
          </x14:formula1>
          <xm:sqref>A38:A41 A27:A30 A32:A36</xm:sqref>
        </x14:dataValidation>
        <x14:dataValidation type="list" errorStyle="information" allowBlank="1" error="Product is not in the Other$ sheet._x000a_If it is a reocuring item please go add it in a tidy manner in the Other$ sheet. Thank You!_x000a_Matthew 7:12" promptTitle="HI" prompt="Select Product" xr:uid="{8A119571-D648-4C76-AAB8-E368E694C357}">
          <x14:formula1>
            <xm:f>'Other $'!$B:$B</xm:f>
          </x14:formula1>
          <xm:sqref>A8 A11:A17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4D4E5-BBD0-4352-B0FD-93B347860E52}">
  <sheetPr codeName="Sheet5"/>
  <dimension ref="A1:F31"/>
  <sheetViews>
    <sheetView zoomScaleNormal="100" workbookViewId="0">
      <selection activeCell="E14" sqref="E14"/>
    </sheetView>
  </sheetViews>
  <sheetFormatPr defaultColWidth="8.77734375" defaultRowHeight="14.4"/>
  <cols>
    <col min="1" max="1" width="18.44140625" customWidth="1"/>
    <col min="2" max="2" width="52.44140625" customWidth="1"/>
    <col min="3" max="3" width="21.109375" style="11" customWidth="1"/>
    <col min="5" max="5" width="9.109375" bestFit="1" customWidth="1"/>
    <col min="6" max="6" width="11.44140625" customWidth="1"/>
  </cols>
  <sheetData>
    <row r="1" spans="1:3" ht="29.4" thickBot="1">
      <c r="A1" s="12" t="s">
        <v>345</v>
      </c>
    </row>
    <row r="2" spans="1:3" ht="15.6" thickTop="1" thickBot="1">
      <c r="A2" s="5" t="s">
        <v>346</v>
      </c>
      <c r="B2" s="5" t="s">
        <v>1</v>
      </c>
      <c r="C2" s="13" t="s">
        <v>2</v>
      </c>
    </row>
    <row r="3" spans="1:3" ht="15" thickTop="1">
      <c r="A3" s="5"/>
      <c r="B3" s="5" t="s">
        <v>368</v>
      </c>
      <c r="C3" s="41">
        <v>0</v>
      </c>
    </row>
    <row r="4" spans="1:3">
      <c r="A4" t="s">
        <v>372</v>
      </c>
      <c r="B4" t="s">
        <v>347</v>
      </c>
      <c r="C4" s="11">
        <v>400</v>
      </c>
    </row>
    <row r="5" spans="1:3">
      <c r="B5" t="s">
        <v>348</v>
      </c>
      <c r="C5" s="11">
        <v>750</v>
      </c>
    </row>
    <row r="6" spans="1:3">
      <c r="B6" t="s">
        <v>349</v>
      </c>
      <c r="C6" s="11">
        <v>2500</v>
      </c>
    </row>
    <row r="7" spans="1:3">
      <c r="B7" t="s">
        <v>350</v>
      </c>
      <c r="C7" s="11">
        <v>200</v>
      </c>
    </row>
    <row r="8" spans="1:3">
      <c r="B8" t="s">
        <v>351</v>
      </c>
      <c r="C8" s="11">
        <v>1000</v>
      </c>
    </row>
    <row r="9" spans="1:3">
      <c r="B9" t="s">
        <v>352</v>
      </c>
      <c r="C9" s="11">
        <v>2000</v>
      </c>
    </row>
    <row r="10" spans="1:3">
      <c r="B10" t="s">
        <v>365</v>
      </c>
      <c r="C10" s="11">
        <v>100</v>
      </c>
    </row>
    <row r="11" spans="1:3">
      <c r="B11" t="s">
        <v>358</v>
      </c>
      <c r="C11" s="11">
        <v>375</v>
      </c>
    </row>
    <row r="12" spans="1:3">
      <c r="B12" t="s">
        <v>357</v>
      </c>
      <c r="C12" s="11">
        <v>1000</v>
      </c>
    </row>
    <row r="13" spans="1:3">
      <c r="B13" t="s">
        <v>359</v>
      </c>
      <c r="C13" s="11">
        <v>2000</v>
      </c>
    </row>
    <row r="14" spans="1:3">
      <c r="B14" t="s">
        <v>353</v>
      </c>
      <c r="C14" s="11">
        <v>300</v>
      </c>
    </row>
    <row r="15" spans="1:3">
      <c r="B15" t="s">
        <v>354</v>
      </c>
      <c r="C15" s="11">
        <v>1000</v>
      </c>
    </row>
    <row r="16" spans="1:3">
      <c r="B16" t="s">
        <v>355</v>
      </c>
      <c r="C16" s="11">
        <v>2000</v>
      </c>
    </row>
    <row r="17" spans="1:6">
      <c r="B17" t="s">
        <v>356</v>
      </c>
      <c r="C17" s="11">
        <v>150</v>
      </c>
    </row>
    <row r="18" spans="1:6">
      <c r="B18" t="s">
        <v>383</v>
      </c>
      <c r="C18" s="11">
        <v>105</v>
      </c>
    </row>
    <row r="19" spans="1:6">
      <c r="A19" t="s">
        <v>364</v>
      </c>
      <c r="B19" t="s">
        <v>507</v>
      </c>
      <c r="C19" s="11">
        <v>150</v>
      </c>
    </row>
    <row r="20" spans="1:6">
      <c r="A20" t="s">
        <v>366</v>
      </c>
      <c r="B20" t="s">
        <v>367</v>
      </c>
      <c r="C20" s="11">
        <v>120</v>
      </c>
    </row>
    <row r="21" spans="1:6">
      <c r="A21" t="s">
        <v>361</v>
      </c>
      <c r="B21" t="s">
        <v>332</v>
      </c>
      <c r="C21" s="11">
        <v>120</v>
      </c>
    </row>
    <row r="22" spans="1:6">
      <c r="B22" t="s">
        <v>362</v>
      </c>
      <c r="C22" s="11">
        <v>300</v>
      </c>
    </row>
    <row r="23" spans="1:6">
      <c r="B23" t="s">
        <v>363</v>
      </c>
      <c r="C23" s="11">
        <v>1</v>
      </c>
    </row>
    <row r="24" spans="1:6">
      <c r="B24" t="s">
        <v>377</v>
      </c>
      <c r="C24" s="11">
        <v>100</v>
      </c>
    </row>
    <row r="25" spans="1:6">
      <c r="A25" t="s">
        <v>9</v>
      </c>
      <c r="B25" s="47" t="s">
        <v>508</v>
      </c>
      <c r="C25" s="48">
        <f>200*1.25</f>
        <v>250</v>
      </c>
      <c r="D25" s="96">
        <f>C25*1.2</f>
        <v>300</v>
      </c>
      <c r="E25" s="47" t="s">
        <v>511</v>
      </c>
      <c r="F25" s="95">
        <f>SUM(C25:C30)</f>
        <v>3743.75</v>
      </c>
    </row>
    <row r="26" spans="1:6">
      <c r="B26" s="47" t="s">
        <v>509</v>
      </c>
      <c r="C26" s="48">
        <f>235*1.25</f>
        <v>293.75</v>
      </c>
      <c r="D26" s="96">
        <f>C26*1.2</f>
        <v>352.5</v>
      </c>
      <c r="E26" s="97" t="s">
        <v>382</v>
      </c>
      <c r="F26" s="96">
        <f>SUM(D25:D30)</f>
        <v>3952.5</v>
      </c>
    </row>
    <row r="27" spans="1:6">
      <c r="B27" s="47" t="s">
        <v>510</v>
      </c>
      <c r="C27" s="48">
        <f>400*1.25</f>
        <v>500</v>
      </c>
      <c r="D27" s="96">
        <f>C27*1.2</f>
        <v>600</v>
      </c>
    </row>
    <row r="28" spans="1:6">
      <c r="B28" s="47" t="s">
        <v>369</v>
      </c>
      <c r="C28" s="48">
        <v>900</v>
      </c>
      <c r="D28" s="96">
        <f>C28</f>
        <v>900</v>
      </c>
    </row>
    <row r="29" spans="1:6">
      <c r="B29" s="47" t="s">
        <v>370</v>
      </c>
      <c r="C29" s="48">
        <v>900</v>
      </c>
      <c r="D29" s="96">
        <f>C29</f>
        <v>900</v>
      </c>
    </row>
    <row r="30" spans="1:6">
      <c r="B30" s="47" t="s">
        <v>371</v>
      </c>
      <c r="C30" s="48">
        <v>900</v>
      </c>
      <c r="D30" s="96">
        <f>C30</f>
        <v>900</v>
      </c>
    </row>
    <row r="31" spans="1:6">
      <c r="B31" t="s">
        <v>376</v>
      </c>
      <c r="C31" s="11">
        <v>100</v>
      </c>
    </row>
  </sheetData>
  <phoneticPr fontId="17" type="noConversion"/>
  <pageMargins left="0.7" right="0.7" top="0.75" bottom="0.75" header="0.3" footer="0.3"/>
  <pageSetup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16EB-F8EB-4AD4-859D-816876BB9B7C}">
  <sheetPr codeName="Sheet6"/>
  <dimension ref="A1:C262"/>
  <sheetViews>
    <sheetView workbookViewId="0">
      <selection activeCell="G26" sqref="G26"/>
    </sheetView>
  </sheetViews>
  <sheetFormatPr defaultColWidth="8.77734375" defaultRowHeight="14.4"/>
  <cols>
    <col min="1" max="1" width="31.44140625" customWidth="1"/>
    <col min="2" max="2" width="45.77734375" customWidth="1"/>
    <col min="3" max="3" width="22.77734375" customWidth="1"/>
  </cols>
  <sheetData>
    <row r="1" spans="1:3" ht="29.4" thickBot="1">
      <c r="A1" s="12" t="s">
        <v>7</v>
      </c>
      <c r="B1" s="12"/>
      <c r="C1" s="16"/>
    </row>
    <row r="2" spans="1:3" ht="15.6" thickTop="1" thickBot="1">
      <c r="A2" s="5" t="s">
        <v>6</v>
      </c>
      <c r="B2" s="5" t="s">
        <v>1</v>
      </c>
      <c r="C2" s="5" t="s">
        <v>2</v>
      </c>
    </row>
    <row r="3" spans="1:3" ht="15" thickTop="1">
      <c r="A3" s="5"/>
      <c r="B3" s="15" t="s">
        <v>318</v>
      </c>
      <c r="C3" s="13">
        <v>0</v>
      </c>
    </row>
    <row r="4" spans="1:3">
      <c r="B4" t="s">
        <v>31</v>
      </c>
      <c r="C4" s="46">
        <f>'MASSA $'!C2</f>
        <v>3.27</v>
      </c>
    </row>
    <row r="5" spans="1:3">
      <c r="B5" t="s">
        <v>32</v>
      </c>
      <c r="C5" s="46">
        <f>'MASSA $'!C3</f>
        <v>4.2699999999999996</v>
      </c>
    </row>
    <row r="6" spans="1:3">
      <c r="B6" t="s">
        <v>211</v>
      </c>
      <c r="C6" s="46">
        <f>'MASSA $'!C4</f>
        <v>4.62</v>
      </c>
    </row>
    <row r="7" spans="1:3">
      <c r="B7" t="s">
        <v>12</v>
      </c>
      <c r="C7" s="46">
        <f>'MASSA $'!C5</f>
        <v>4.18</v>
      </c>
    </row>
    <row r="8" spans="1:3">
      <c r="B8" t="s">
        <v>10</v>
      </c>
      <c r="C8" s="46">
        <f>'MASSA $'!C6</f>
        <v>5.24</v>
      </c>
    </row>
    <row r="9" spans="1:3">
      <c r="B9" t="s">
        <v>8</v>
      </c>
      <c r="C9" s="46">
        <f>'MASSA $'!C7</f>
        <v>6.28</v>
      </c>
    </row>
    <row r="10" spans="1:3">
      <c r="B10" t="s">
        <v>213</v>
      </c>
      <c r="C10" s="46">
        <f>'MASSA $'!C8</f>
        <v>6.28</v>
      </c>
    </row>
    <row r="11" spans="1:3">
      <c r="B11" t="s">
        <v>33</v>
      </c>
      <c r="C11" s="46">
        <f>'MASSA $'!C9</f>
        <v>8.3699999999999992</v>
      </c>
    </row>
    <row r="12" spans="1:3">
      <c r="B12" t="s">
        <v>214</v>
      </c>
      <c r="C12" s="46" t="str">
        <f>'MASSA $'!C10</f>
        <v>CALL</v>
      </c>
    </row>
    <row r="13" spans="1:3">
      <c r="B13" t="s">
        <v>34</v>
      </c>
      <c r="C13" s="46">
        <f>'MASSA $'!C11</f>
        <v>12.09</v>
      </c>
    </row>
    <row r="14" spans="1:3">
      <c r="B14" t="s">
        <v>268</v>
      </c>
      <c r="C14" s="46" t="e">
        <f>'MASSA $'!C14*16</f>
        <v>#VALUE!</v>
      </c>
    </row>
    <row r="15" spans="1:3">
      <c r="B15" t="s">
        <v>16</v>
      </c>
      <c r="C15" s="46">
        <f>'MASSA $'!G2</f>
        <v>4.8600000000000003</v>
      </c>
    </row>
    <row r="16" spans="1:3">
      <c r="B16" t="s">
        <v>17</v>
      </c>
      <c r="C16" s="46">
        <f>'MASSA $'!G3</f>
        <v>6.4</v>
      </c>
    </row>
    <row r="17" spans="2:3">
      <c r="B17" t="s">
        <v>212</v>
      </c>
      <c r="C17" s="46">
        <f>'MASSA $'!G4</f>
        <v>7.23</v>
      </c>
    </row>
    <row r="18" spans="2:3">
      <c r="B18" t="s">
        <v>11</v>
      </c>
      <c r="C18" s="46">
        <f>'MASSA $'!G5</f>
        <v>6.28</v>
      </c>
    </row>
    <row r="19" spans="2:3">
      <c r="B19" t="s">
        <v>18</v>
      </c>
      <c r="C19" s="46">
        <f>'MASSA $'!G6</f>
        <v>7.85</v>
      </c>
    </row>
    <row r="20" spans="2:3">
      <c r="B20" t="s">
        <v>14</v>
      </c>
      <c r="C20" s="46">
        <f>'MASSA $'!G7</f>
        <v>9.42</v>
      </c>
    </row>
    <row r="21" spans="2:3">
      <c r="B21" t="s">
        <v>19</v>
      </c>
      <c r="C21" s="46">
        <f>'MASSA $'!G8</f>
        <v>10.98</v>
      </c>
    </row>
    <row r="22" spans="2:3">
      <c r="B22" t="s">
        <v>20</v>
      </c>
      <c r="C22" s="46">
        <f>'MASSA $'!G9</f>
        <v>12.55</v>
      </c>
    </row>
    <row r="23" spans="2:3">
      <c r="B23" t="s">
        <v>21</v>
      </c>
      <c r="C23" s="46" t="str">
        <f>'MASSA $'!G10</f>
        <v>CALL</v>
      </c>
    </row>
    <row r="24" spans="2:3">
      <c r="B24" t="s">
        <v>22</v>
      </c>
      <c r="C24" s="46">
        <f>'MASSA $'!G11</f>
        <v>18.149999999999999</v>
      </c>
    </row>
    <row r="25" spans="2:3" ht="15" customHeight="1">
      <c r="B25" t="s">
        <v>267</v>
      </c>
      <c r="C25" s="46">
        <f>'MASSA $'!C15*16</f>
        <v>12.96</v>
      </c>
    </row>
    <row r="26" spans="2:3" ht="15" customHeight="1">
      <c r="B26" t="s">
        <v>448</v>
      </c>
      <c r="C26" s="46">
        <v>18</v>
      </c>
    </row>
    <row r="27" spans="2:3" ht="15" customHeight="1">
      <c r="B27" t="s">
        <v>447</v>
      </c>
      <c r="C27" s="46">
        <v>24</v>
      </c>
    </row>
    <row r="28" spans="2:3">
      <c r="B28" t="s">
        <v>215</v>
      </c>
      <c r="C28" s="46">
        <f>'MASSA $'!K2</f>
        <v>11.44</v>
      </c>
    </row>
    <row r="29" spans="2:3">
      <c r="B29" t="s">
        <v>216</v>
      </c>
      <c r="C29" s="46">
        <f>'MASSA $'!K3</f>
        <v>14.3</v>
      </c>
    </row>
    <row r="30" spans="2:3">
      <c r="B30" t="s">
        <v>217</v>
      </c>
      <c r="C30" s="46">
        <f>'MASSA $'!K4</f>
        <v>17.16</v>
      </c>
    </row>
    <row r="31" spans="2:3">
      <c r="B31" t="s">
        <v>218</v>
      </c>
      <c r="C31" s="46">
        <f>'MASSA $'!K5</f>
        <v>20.02</v>
      </c>
    </row>
    <row r="32" spans="2:3">
      <c r="B32" t="s">
        <v>219</v>
      </c>
      <c r="C32" s="46">
        <f>'MASSA $'!K6</f>
        <v>22.89</v>
      </c>
    </row>
    <row r="33" spans="2:3">
      <c r="B33" t="s">
        <v>220</v>
      </c>
      <c r="C33" s="46" t="str">
        <f>'MASSA $'!K7</f>
        <v>CALL</v>
      </c>
    </row>
    <row r="34" spans="2:3">
      <c r="B34" t="s">
        <v>221</v>
      </c>
      <c r="C34" s="46">
        <f>'MASSA $'!K8</f>
        <v>31.87</v>
      </c>
    </row>
    <row r="35" spans="2:3">
      <c r="B35" t="s">
        <v>266</v>
      </c>
      <c r="C35" s="46">
        <f>'MASSA $'!C16*16</f>
        <v>17.600000000000001</v>
      </c>
    </row>
    <row r="36" spans="2:3">
      <c r="B36" t="s">
        <v>222</v>
      </c>
      <c r="C36" s="46">
        <f>'MASSA $'!O2</f>
        <v>14.3</v>
      </c>
    </row>
    <row r="37" spans="2:3">
      <c r="B37" t="s">
        <v>223</v>
      </c>
      <c r="C37" s="46">
        <f>'MASSA $'!O3</f>
        <v>17.88</v>
      </c>
    </row>
    <row r="38" spans="2:3">
      <c r="B38" t="s">
        <v>224</v>
      </c>
      <c r="C38" s="46">
        <f>'MASSA $'!O4</f>
        <v>21.45</v>
      </c>
    </row>
    <row r="39" spans="2:3">
      <c r="B39" t="s">
        <v>225</v>
      </c>
      <c r="C39" s="46">
        <f>'MASSA $'!O5</f>
        <v>25.02</v>
      </c>
    </row>
    <row r="40" spans="2:3">
      <c r="B40" t="s">
        <v>226</v>
      </c>
      <c r="C40" s="46">
        <f>'MASSA $'!O6</f>
        <v>28.61</v>
      </c>
    </row>
    <row r="41" spans="2:3">
      <c r="B41" t="s">
        <v>227</v>
      </c>
      <c r="C41" s="46" t="str">
        <f>'MASSA $'!O7</f>
        <v>CALL</v>
      </c>
    </row>
    <row r="42" spans="2:3">
      <c r="B42" t="s">
        <v>228</v>
      </c>
      <c r="C42" s="46">
        <f>'MASSA $'!O8</f>
        <v>39.840000000000003</v>
      </c>
    </row>
    <row r="43" spans="2:3">
      <c r="B43" t="s">
        <v>269</v>
      </c>
      <c r="C43" s="46">
        <f>'MASSA $'!C17*16</f>
        <v>23.68</v>
      </c>
    </row>
    <row r="44" spans="2:3">
      <c r="B44" t="s">
        <v>13</v>
      </c>
      <c r="C44" s="46">
        <f>'MASSA $'!S2</f>
        <v>17.45</v>
      </c>
    </row>
    <row r="45" spans="2:3">
      <c r="B45" t="s">
        <v>24</v>
      </c>
      <c r="C45" s="46">
        <f>'MASSA $'!S3</f>
        <v>21.82</v>
      </c>
    </row>
    <row r="46" spans="2:3">
      <c r="B46" t="s">
        <v>25</v>
      </c>
      <c r="C46" s="46">
        <f>'MASSA $'!S4</f>
        <v>26.18</v>
      </c>
    </row>
    <row r="47" spans="2:3">
      <c r="B47" t="s">
        <v>229</v>
      </c>
      <c r="C47" s="46">
        <f>'MASSA $'!S5</f>
        <v>30.54</v>
      </c>
    </row>
    <row r="48" spans="2:3">
      <c r="B48" t="s">
        <v>26</v>
      </c>
      <c r="C48" s="46">
        <f>'MASSA $'!S6</f>
        <v>38.840000000000003</v>
      </c>
    </row>
    <row r="49" spans="2:3" ht="15" customHeight="1">
      <c r="B49" t="s">
        <v>230</v>
      </c>
      <c r="C49" s="46" t="str">
        <f>'MASSA $'!S7</f>
        <v>CALL</v>
      </c>
    </row>
    <row r="50" spans="2:3">
      <c r="B50" t="s">
        <v>231</v>
      </c>
      <c r="C50" s="46">
        <f>'MASSA $'!S8</f>
        <v>60.8</v>
      </c>
    </row>
    <row r="51" spans="2:3">
      <c r="B51" t="s">
        <v>270</v>
      </c>
      <c r="C51" s="46">
        <f>'MASSA $'!C18*16</f>
        <v>36.64</v>
      </c>
    </row>
    <row r="52" spans="2:3">
      <c r="B52" t="s">
        <v>27</v>
      </c>
      <c r="C52" s="46" t="str">
        <f>'MASSA $'!AB14</f>
        <v>1 3/4</v>
      </c>
    </row>
    <row r="53" spans="2:3">
      <c r="B53" t="s">
        <v>28</v>
      </c>
      <c r="C53" s="46">
        <f>'MASSA $'!AB15</f>
        <v>6.72</v>
      </c>
    </row>
    <row r="54" spans="2:3">
      <c r="B54" t="s">
        <v>29</v>
      </c>
      <c r="C54" s="46">
        <f>'MASSA $'!AB16</f>
        <v>7.58</v>
      </c>
    </row>
    <row r="55" spans="2:3">
      <c r="B55" t="s">
        <v>30</v>
      </c>
      <c r="C55" s="46">
        <f>'MASSA $'!AB17</f>
        <v>10.18</v>
      </c>
    </row>
    <row r="56" spans="2:3">
      <c r="B56" t="s">
        <v>232</v>
      </c>
      <c r="C56" s="6">
        <v>29.35</v>
      </c>
    </row>
    <row r="57" spans="2:3">
      <c r="B57" t="s">
        <v>233</v>
      </c>
      <c r="C57" s="6">
        <v>36.69</v>
      </c>
    </row>
    <row r="58" spans="2:3">
      <c r="B58" t="s">
        <v>234</v>
      </c>
      <c r="C58" s="6">
        <v>44.04</v>
      </c>
    </row>
    <row r="59" spans="2:3">
      <c r="B59" t="s">
        <v>235</v>
      </c>
      <c r="C59" s="6">
        <v>51.38</v>
      </c>
    </row>
    <row r="60" spans="2:3">
      <c r="B60" t="s">
        <v>236</v>
      </c>
      <c r="C60" s="6">
        <v>58.72</v>
      </c>
    </row>
    <row r="61" spans="2:3">
      <c r="B61" t="s">
        <v>237</v>
      </c>
      <c r="C61" s="6">
        <v>66.06</v>
      </c>
    </row>
    <row r="62" spans="2:3">
      <c r="B62" t="s">
        <v>238</v>
      </c>
      <c r="C62" s="6">
        <v>73.400000000000006</v>
      </c>
    </row>
    <row r="63" spans="2:3">
      <c r="B63" t="s">
        <v>239</v>
      </c>
      <c r="C63" s="46">
        <f>'MASSA $'!C19*8</f>
        <v>20.48</v>
      </c>
    </row>
    <row r="64" spans="2:3">
      <c r="B64" t="s">
        <v>240</v>
      </c>
      <c r="C64" s="46">
        <f>'MASSA $'!C19*10</f>
        <v>25.6</v>
      </c>
    </row>
    <row r="65" spans="2:3">
      <c r="B65" t="s">
        <v>241</v>
      </c>
      <c r="C65" s="28">
        <f>'MASSA $'!C19*12</f>
        <v>30.72</v>
      </c>
    </row>
    <row r="66" spans="2:3">
      <c r="B66" t="s">
        <v>242</v>
      </c>
      <c r="C66" s="46">
        <f>'MASSA $'!C19*14</f>
        <v>35.840000000000003</v>
      </c>
    </row>
    <row r="67" spans="2:3">
      <c r="B67" t="s">
        <v>243</v>
      </c>
      <c r="C67" s="46">
        <f>'MASSA $'!C19*16</f>
        <v>40.96</v>
      </c>
    </row>
    <row r="68" spans="2:3">
      <c r="B68" t="s">
        <v>244</v>
      </c>
      <c r="C68" s="46">
        <f>'MASSA $'!C19*18</f>
        <v>46.08</v>
      </c>
    </row>
    <row r="69" spans="2:3">
      <c r="B69" t="s">
        <v>245</v>
      </c>
      <c r="C69" s="46">
        <f>'MASSA $'!C19*20</f>
        <v>51.2</v>
      </c>
    </row>
    <row r="70" spans="2:3">
      <c r="B70" t="s">
        <v>246</v>
      </c>
      <c r="C70" s="6">
        <v>113.67</v>
      </c>
    </row>
    <row r="71" spans="2:3">
      <c r="B71" t="s">
        <v>247</v>
      </c>
      <c r="C71" s="6">
        <v>136</v>
      </c>
    </row>
    <row r="72" spans="2:3">
      <c r="B72" t="s">
        <v>248</v>
      </c>
      <c r="C72" s="6">
        <v>150</v>
      </c>
    </row>
    <row r="73" spans="2:3">
      <c r="B73" t="s">
        <v>249</v>
      </c>
      <c r="C73" s="6">
        <v>164</v>
      </c>
    </row>
    <row r="74" spans="2:3">
      <c r="B74" t="s">
        <v>250</v>
      </c>
      <c r="C74" s="6">
        <v>178</v>
      </c>
    </row>
    <row r="75" spans="2:3">
      <c r="B75" t="s">
        <v>251</v>
      </c>
      <c r="C75" s="6">
        <v>192</v>
      </c>
    </row>
    <row r="76" spans="2:3">
      <c r="B76" t="s">
        <v>252</v>
      </c>
      <c r="C76" s="6">
        <v>206</v>
      </c>
    </row>
    <row r="77" spans="2:3">
      <c r="B77" t="s">
        <v>271</v>
      </c>
      <c r="C77" s="46">
        <f>'MASSA $'!C20*8</f>
        <v>16.079999999999998</v>
      </c>
    </row>
    <row r="78" spans="2:3">
      <c r="B78" t="s">
        <v>272</v>
      </c>
      <c r="C78" s="46">
        <f>'MASSA $'!C20*10</f>
        <v>20.099999999999998</v>
      </c>
    </row>
    <row r="79" spans="2:3">
      <c r="B79" t="s">
        <v>273</v>
      </c>
      <c r="C79" s="46">
        <f>'MASSA $'!C20*14</f>
        <v>28.139999999999997</v>
      </c>
    </row>
    <row r="80" spans="2:3">
      <c r="B80" t="s">
        <v>274</v>
      </c>
      <c r="C80" s="46">
        <f>'MASSA $'!C20*14</f>
        <v>28.139999999999997</v>
      </c>
    </row>
    <row r="81" spans="2:3">
      <c r="B81" t="s">
        <v>275</v>
      </c>
      <c r="C81" s="46">
        <f>'MASSA $'!C20*16</f>
        <v>32.159999999999997</v>
      </c>
    </row>
    <row r="82" spans="2:3">
      <c r="B82" t="s">
        <v>276</v>
      </c>
      <c r="C82" s="46">
        <f>'MASSA $'!C20*18</f>
        <v>36.179999999999993</v>
      </c>
    </row>
    <row r="83" spans="2:3">
      <c r="B83" t="s">
        <v>277</v>
      </c>
      <c r="C83" s="46">
        <f>'MASSA $'!C20*20</f>
        <v>40.199999999999996</v>
      </c>
    </row>
    <row r="84" spans="2:3">
      <c r="B84" s="8" t="s">
        <v>254</v>
      </c>
      <c r="C84" s="46" t="str">
        <f>'MASSA $'!AA24</f>
        <v>3 1/2</v>
      </c>
    </row>
    <row r="85" spans="2:3">
      <c r="B85" s="8" t="s">
        <v>255</v>
      </c>
      <c r="C85" s="46" t="str">
        <f>'MASSA $'!AA25</f>
        <v>Spl Ordr</v>
      </c>
    </row>
    <row r="86" spans="2:3">
      <c r="B86" s="8" t="s">
        <v>256</v>
      </c>
      <c r="C86" s="46">
        <f>'MASSA $'!AA26</f>
        <v>11.33</v>
      </c>
    </row>
    <row r="87" spans="2:3">
      <c r="B87" s="8" t="s">
        <v>257</v>
      </c>
      <c r="C87" s="46">
        <f>'MASSA $'!AA27</f>
        <v>12.97</v>
      </c>
    </row>
    <row r="88" spans="2:3">
      <c r="B88" s="8" t="s">
        <v>258</v>
      </c>
      <c r="C88" s="46">
        <f>'MASSA $'!AA28</f>
        <v>17.260000000000002</v>
      </c>
    </row>
    <row r="89" spans="2:3">
      <c r="B89" s="8" t="s">
        <v>259</v>
      </c>
      <c r="C89" s="46">
        <f>'MASSA $'!AA29</f>
        <v>20.83</v>
      </c>
    </row>
    <row r="90" spans="2:3">
      <c r="B90" s="8" t="s">
        <v>260</v>
      </c>
      <c r="C90" s="46" t="str">
        <f>'MASSA $'!AB24</f>
        <v>5 1/2</v>
      </c>
    </row>
    <row r="91" spans="2:3">
      <c r="B91" s="8" t="s">
        <v>261</v>
      </c>
      <c r="C91" s="46">
        <f>'MASSA $'!AB25</f>
        <v>13.34</v>
      </c>
    </row>
    <row r="92" spans="2:3">
      <c r="B92" s="8" t="s">
        <v>262</v>
      </c>
      <c r="C92" s="46">
        <f>'MASSA $'!AB26</f>
        <v>15.14</v>
      </c>
    </row>
    <row r="93" spans="2:3">
      <c r="B93" s="8" t="s">
        <v>263</v>
      </c>
      <c r="C93" s="46">
        <f>'MASSA $'!AB27</f>
        <v>17.64</v>
      </c>
    </row>
    <row r="94" spans="2:3">
      <c r="B94" s="8" t="s">
        <v>264</v>
      </c>
      <c r="C94" s="46">
        <f>'MASSA $'!AB28</f>
        <v>23.49</v>
      </c>
    </row>
    <row r="95" spans="2:3">
      <c r="B95" s="8" t="s">
        <v>265</v>
      </c>
      <c r="C95" s="46">
        <f>'MASSA $'!AB29</f>
        <v>29.43</v>
      </c>
    </row>
    <row r="96" spans="2:3">
      <c r="B96" s="8" t="s">
        <v>279</v>
      </c>
      <c r="C96" s="46">
        <f>'MASSA $'!V2</f>
        <v>0</v>
      </c>
    </row>
    <row r="97" spans="2:3">
      <c r="B97" s="8" t="s">
        <v>278</v>
      </c>
      <c r="C97" s="46">
        <f>'MASSA $'!W2</f>
        <v>17.649999999999999</v>
      </c>
    </row>
    <row r="98" spans="2:3">
      <c r="B98" s="8" t="s">
        <v>280</v>
      </c>
      <c r="C98" s="46">
        <f>'MASSA $'!V3</f>
        <v>0</v>
      </c>
    </row>
    <row r="99" spans="2:3">
      <c r="B99" s="8" t="s">
        <v>281</v>
      </c>
      <c r="C99" s="46">
        <f>'MASSA $'!W3</f>
        <v>20.79</v>
      </c>
    </row>
    <row r="100" spans="2:3">
      <c r="B100" s="8" t="s">
        <v>45</v>
      </c>
      <c r="C100" s="46">
        <f>'MASSA $'!AA2</f>
        <v>2.84</v>
      </c>
    </row>
    <row r="101" spans="2:3">
      <c r="B101" s="8" t="s">
        <v>48</v>
      </c>
      <c r="C101" s="46">
        <f>'MASSA $'!AA3</f>
        <v>2.5</v>
      </c>
    </row>
    <row r="102" spans="2:3">
      <c r="B102" s="8" t="s">
        <v>52</v>
      </c>
      <c r="C102" s="46">
        <f>'MASSA $'!AA4</f>
        <v>1.97</v>
      </c>
    </row>
    <row r="103" spans="2:3">
      <c r="B103" s="8" t="s">
        <v>54</v>
      </c>
      <c r="C103" s="46">
        <f>'MASSA $'!AA5</f>
        <v>0</v>
      </c>
    </row>
    <row r="104" spans="2:3">
      <c r="B104" s="8" t="s">
        <v>56</v>
      </c>
      <c r="C104" s="46">
        <f>'MASSA $'!AA6</f>
        <v>0</v>
      </c>
    </row>
    <row r="105" spans="2:3">
      <c r="B105" s="10" t="s">
        <v>58</v>
      </c>
      <c r="C105" s="46">
        <f>'MASSA $'!AA7</f>
        <v>0</v>
      </c>
    </row>
    <row r="106" spans="2:3">
      <c r="B106" s="10" t="s">
        <v>60</v>
      </c>
      <c r="C106" s="46">
        <f>'MASSA $'!AA8</f>
        <v>0</v>
      </c>
    </row>
    <row r="107" spans="2:3">
      <c r="B107" s="10" t="s">
        <v>61</v>
      </c>
      <c r="C107" s="46">
        <f>'MASSA $'!AA9</f>
        <v>0</v>
      </c>
    </row>
    <row r="108" spans="2:3">
      <c r="B108" s="10" t="s">
        <v>62</v>
      </c>
      <c r="C108" s="46">
        <f>'MASSA $'!Z10</f>
        <v>0</v>
      </c>
    </row>
    <row r="109" spans="2:3">
      <c r="B109" s="10" t="s">
        <v>63</v>
      </c>
      <c r="C109" s="46">
        <f>'MASSA $'!Z11</f>
        <v>0</v>
      </c>
    </row>
    <row r="110" spans="2:3">
      <c r="B110" s="10" t="s">
        <v>64</v>
      </c>
      <c r="C110" s="46">
        <f>'MASSA $'!AA12</f>
        <v>0</v>
      </c>
    </row>
    <row r="111" spans="2:3">
      <c r="B111" t="s">
        <v>253</v>
      </c>
      <c r="C111" s="90">
        <v>44.5</v>
      </c>
    </row>
    <row r="112" spans="2:3">
      <c r="B112" s="10" t="s">
        <v>282</v>
      </c>
      <c r="C112" s="90">
        <v>2.2000000000000002</v>
      </c>
    </row>
    <row r="113" spans="2:3">
      <c r="B113" s="10" t="s">
        <v>283</v>
      </c>
      <c r="C113" s="90">
        <v>2.6</v>
      </c>
    </row>
    <row r="114" spans="2:3">
      <c r="B114" s="10" t="s">
        <v>284</v>
      </c>
      <c r="C114" s="90">
        <v>2.97</v>
      </c>
    </row>
    <row r="115" spans="2:3">
      <c r="B115" s="10" t="s">
        <v>285</v>
      </c>
      <c r="C115" s="90">
        <v>3</v>
      </c>
    </row>
    <row r="116" spans="2:3">
      <c r="B116" s="10" t="s">
        <v>286</v>
      </c>
      <c r="C116" s="90">
        <v>5.9</v>
      </c>
    </row>
    <row r="117" spans="2:3">
      <c r="B117" s="10" t="s">
        <v>287</v>
      </c>
      <c r="C117" s="90">
        <v>6.9</v>
      </c>
    </row>
    <row r="118" spans="2:3">
      <c r="B118" s="10" t="s">
        <v>453</v>
      </c>
      <c r="C118" s="90">
        <v>39.549999999999997</v>
      </c>
    </row>
    <row r="119" spans="2:3">
      <c r="B119" s="10" t="s">
        <v>478</v>
      </c>
      <c r="C119" s="90">
        <v>5</v>
      </c>
    </row>
    <row r="120" spans="2:3">
      <c r="B120" t="s">
        <v>317</v>
      </c>
      <c r="C120" s="90">
        <v>70</v>
      </c>
    </row>
    <row r="121" spans="2:3">
      <c r="B121" s="10" t="s">
        <v>451</v>
      </c>
      <c r="C121" s="90">
        <v>40.1</v>
      </c>
    </row>
    <row r="122" spans="2:3">
      <c r="B122" s="10" t="s">
        <v>450</v>
      </c>
      <c r="C122" s="90">
        <v>55</v>
      </c>
    </row>
    <row r="123" spans="2:3">
      <c r="B123" s="10" t="s">
        <v>449</v>
      </c>
      <c r="C123" s="90">
        <v>91</v>
      </c>
    </row>
    <row r="124" spans="2:3">
      <c r="B124" s="10" t="s">
        <v>477</v>
      </c>
      <c r="C124" s="90">
        <v>7.14</v>
      </c>
    </row>
    <row r="125" spans="2:3">
      <c r="B125" t="s">
        <v>23</v>
      </c>
      <c r="C125" s="90">
        <v>80</v>
      </c>
    </row>
    <row r="126" spans="2:3">
      <c r="B126" s="10" t="s">
        <v>446</v>
      </c>
      <c r="C126" s="90">
        <v>124</v>
      </c>
    </row>
    <row r="127" spans="2:3">
      <c r="B127" s="10" t="s">
        <v>454</v>
      </c>
      <c r="C127" s="46">
        <f>'MASSA $'!G15</f>
        <v>26.6</v>
      </c>
    </row>
    <row r="128" spans="2:3">
      <c r="B128" s="10" t="s">
        <v>475</v>
      </c>
      <c r="C128" s="46">
        <f>'MASSA $'!G17</f>
        <v>155.80000000000001</v>
      </c>
    </row>
    <row r="129" spans="1:3">
      <c r="B129" s="10" t="s">
        <v>476</v>
      </c>
      <c r="C129" s="46">
        <v>33</v>
      </c>
    </row>
    <row r="130" spans="1:3">
      <c r="B130" t="s">
        <v>15</v>
      </c>
      <c r="C130" s="46">
        <v>8.0500000000000007</v>
      </c>
    </row>
    <row r="131" spans="1:3">
      <c r="B131" s="10" t="s">
        <v>452</v>
      </c>
      <c r="C131" s="46">
        <v>7.5</v>
      </c>
    </row>
    <row r="132" spans="1:3">
      <c r="C132" s="46"/>
    </row>
    <row r="133" spans="1:3">
      <c r="A133" t="s">
        <v>67</v>
      </c>
      <c r="B133" s="10" t="s">
        <v>479</v>
      </c>
      <c r="C133" s="46">
        <f>'MASSA $'!O15</f>
        <v>0.47</v>
      </c>
    </row>
    <row r="134" spans="1:3">
      <c r="B134" s="10" t="s">
        <v>480</v>
      </c>
      <c r="C134" s="46">
        <f>'MASSA $'!O15</f>
        <v>0.47</v>
      </c>
    </row>
    <row r="135" spans="1:3">
      <c r="B135" s="10" t="s">
        <v>455</v>
      </c>
      <c r="C135" s="46">
        <f>'MASSA $'!O17</f>
        <v>0.68</v>
      </c>
    </row>
    <row r="136" spans="1:3">
      <c r="B136" s="10" t="s">
        <v>456</v>
      </c>
      <c r="C136" s="46">
        <f>C135</f>
        <v>0.68</v>
      </c>
    </row>
    <row r="137" spans="1:3">
      <c r="B137" s="10" t="s">
        <v>482</v>
      </c>
      <c r="C137" s="46">
        <f>'MASSA $'!O19</f>
        <v>0.96</v>
      </c>
    </row>
    <row r="138" spans="1:3">
      <c r="B138" s="10" t="s">
        <v>481</v>
      </c>
      <c r="C138" s="46">
        <f>C137</f>
        <v>0.96</v>
      </c>
    </row>
    <row r="139" spans="1:3">
      <c r="B139" s="10" t="s">
        <v>483</v>
      </c>
      <c r="C139" s="46">
        <f>'MASSA $'!O20</f>
        <v>1.1200000000000001</v>
      </c>
    </row>
    <row r="140" spans="1:3">
      <c r="B140" s="10" t="s">
        <v>484</v>
      </c>
      <c r="C140" s="46">
        <f>C139</f>
        <v>1.1200000000000001</v>
      </c>
    </row>
    <row r="141" spans="1:3">
      <c r="C141" s="7"/>
    </row>
    <row r="142" spans="1:3">
      <c r="B142" s="10" t="s">
        <v>384</v>
      </c>
      <c r="C142" s="46">
        <v>70.260000000000005</v>
      </c>
    </row>
    <row r="143" spans="1:3">
      <c r="B143" s="10" t="s">
        <v>385</v>
      </c>
      <c r="C143" s="46">
        <v>90</v>
      </c>
    </row>
    <row r="144" spans="1:3">
      <c r="B144" s="10" t="s">
        <v>386</v>
      </c>
      <c r="C144" s="46">
        <v>110</v>
      </c>
    </row>
    <row r="145" spans="2:3">
      <c r="B145" s="10" t="s">
        <v>387</v>
      </c>
      <c r="C145" s="46">
        <v>130</v>
      </c>
    </row>
    <row r="146" spans="2:3">
      <c r="B146" s="10" t="s">
        <v>388</v>
      </c>
      <c r="C146" s="46">
        <v>150</v>
      </c>
    </row>
    <row r="147" spans="2:3">
      <c r="B147" s="10" t="s">
        <v>389</v>
      </c>
      <c r="C147" s="46">
        <v>170</v>
      </c>
    </row>
    <row r="148" spans="2:3">
      <c r="B148" s="10" t="s">
        <v>390</v>
      </c>
      <c r="C148" s="46">
        <v>190</v>
      </c>
    </row>
    <row r="149" spans="2:3">
      <c r="B149" s="10" t="s">
        <v>391</v>
      </c>
      <c r="C149" s="46">
        <v>210</v>
      </c>
    </row>
    <row r="150" spans="2:3">
      <c r="B150" s="10" t="s">
        <v>392</v>
      </c>
      <c r="C150" s="46">
        <v>230</v>
      </c>
    </row>
    <row r="151" spans="2:3">
      <c r="B151" s="10" t="s">
        <v>393</v>
      </c>
      <c r="C151" s="46">
        <v>250</v>
      </c>
    </row>
    <row r="152" spans="2:3">
      <c r="B152" s="10" t="s">
        <v>394</v>
      </c>
      <c r="C152" s="46">
        <v>270</v>
      </c>
    </row>
    <row r="153" spans="2:3">
      <c r="B153" s="10" t="s">
        <v>395</v>
      </c>
      <c r="C153" s="46">
        <v>290</v>
      </c>
    </row>
    <row r="154" spans="2:3">
      <c r="B154" s="10" t="s">
        <v>396</v>
      </c>
      <c r="C154" s="46">
        <v>70</v>
      </c>
    </row>
    <row r="155" spans="2:3">
      <c r="B155" s="10" t="s">
        <v>397</v>
      </c>
      <c r="C155" s="46">
        <v>81</v>
      </c>
    </row>
    <row r="156" spans="2:3">
      <c r="B156" s="10" t="s">
        <v>398</v>
      </c>
      <c r="C156" s="46">
        <v>93</v>
      </c>
    </row>
    <row r="157" spans="2:3">
      <c r="B157" s="10" t="s">
        <v>399</v>
      </c>
      <c r="C157" s="46">
        <v>105</v>
      </c>
    </row>
    <row r="158" spans="2:3">
      <c r="B158" s="10" t="s">
        <v>400</v>
      </c>
      <c r="C158" s="46">
        <v>117</v>
      </c>
    </row>
    <row r="159" spans="2:3">
      <c r="B159" s="10" t="s">
        <v>401</v>
      </c>
      <c r="C159" s="46">
        <v>128</v>
      </c>
    </row>
    <row r="160" spans="2:3">
      <c r="B160" s="10" t="s">
        <v>402</v>
      </c>
      <c r="C160" s="46">
        <v>140</v>
      </c>
    </row>
    <row r="161" spans="2:3">
      <c r="B161" s="10" t="s">
        <v>403</v>
      </c>
      <c r="C161" s="46">
        <v>153</v>
      </c>
    </row>
    <row r="162" spans="2:3">
      <c r="B162" s="10" t="s">
        <v>404</v>
      </c>
      <c r="C162" s="46">
        <v>165</v>
      </c>
    </row>
    <row r="163" spans="2:3">
      <c r="B163" s="10" t="s">
        <v>405</v>
      </c>
      <c r="C163" s="46">
        <v>177</v>
      </c>
    </row>
    <row r="164" spans="2:3">
      <c r="B164" s="10" t="s">
        <v>406</v>
      </c>
      <c r="C164" s="46">
        <v>189</v>
      </c>
    </row>
    <row r="165" spans="2:3">
      <c r="B165" s="10" t="s">
        <v>407</v>
      </c>
      <c r="C165" s="46">
        <v>202</v>
      </c>
    </row>
    <row r="166" spans="2:3">
      <c r="B166" s="10" t="s">
        <v>408</v>
      </c>
      <c r="C166" s="46">
        <v>93</v>
      </c>
    </row>
    <row r="167" spans="2:3">
      <c r="B167" s="10" t="s">
        <v>409</v>
      </c>
      <c r="C167" s="46">
        <v>103</v>
      </c>
    </row>
    <row r="168" spans="2:3">
      <c r="B168" s="10" t="s">
        <v>410</v>
      </c>
      <c r="C168" s="46">
        <v>118</v>
      </c>
    </row>
    <row r="169" spans="2:3">
      <c r="B169" s="10" t="s">
        <v>411</v>
      </c>
      <c r="C169" s="46">
        <v>133</v>
      </c>
    </row>
    <row r="170" spans="2:3">
      <c r="B170" s="10" t="s">
        <v>412</v>
      </c>
      <c r="C170" s="46">
        <v>148</v>
      </c>
    </row>
    <row r="171" spans="2:3">
      <c r="B171" s="10" t="s">
        <v>413</v>
      </c>
      <c r="C171" s="46">
        <v>163</v>
      </c>
    </row>
    <row r="172" spans="2:3">
      <c r="B172" s="10" t="s">
        <v>414</v>
      </c>
      <c r="C172" s="46">
        <v>177</v>
      </c>
    </row>
    <row r="173" spans="2:3">
      <c r="B173" s="10" t="s">
        <v>415</v>
      </c>
      <c r="C173" s="46">
        <v>192</v>
      </c>
    </row>
    <row r="174" spans="2:3">
      <c r="B174" s="10" t="s">
        <v>416</v>
      </c>
      <c r="C174" s="46">
        <v>210</v>
      </c>
    </row>
    <row r="175" spans="2:3">
      <c r="B175" s="10" t="s">
        <v>417</v>
      </c>
      <c r="C175" s="46">
        <v>225</v>
      </c>
    </row>
    <row r="176" spans="2:3">
      <c r="B176" s="10" t="s">
        <v>418</v>
      </c>
      <c r="C176" s="46">
        <v>240</v>
      </c>
    </row>
    <row r="177" spans="2:3">
      <c r="B177" s="10" t="s">
        <v>419</v>
      </c>
      <c r="C177" s="46">
        <v>255</v>
      </c>
    </row>
    <row r="178" spans="2:3">
      <c r="B178" s="10" t="s">
        <v>420</v>
      </c>
      <c r="C178" s="46">
        <v>87</v>
      </c>
    </row>
    <row r="179" spans="2:3">
      <c r="B179" s="10" t="s">
        <v>421</v>
      </c>
      <c r="C179" s="46">
        <v>102</v>
      </c>
    </row>
    <row r="180" spans="2:3">
      <c r="B180" s="10" t="s">
        <v>422</v>
      </c>
      <c r="C180" s="46">
        <v>116</v>
      </c>
    </row>
    <row r="181" spans="2:3">
      <c r="B181" s="10" t="s">
        <v>423</v>
      </c>
      <c r="C181" s="46">
        <v>131</v>
      </c>
    </row>
    <row r="182" spans="2:3">
      <c r="B182" s="10" t="s">
        <v>424</v>
      </c>
      <c r="C182" s="46">
        <v>145</v>
      </c>
    </row>
    <row r="183" spans="2:3">
      <c r="B183" s="10" t="s">
        <v>425</v>
      </c>
      <c r="C183" s="46">
        <v>160</v>
      </c>
    </row>
    <row r="184" spans="2:3">
      <c r="B184" s="10" t="s">
        <v>426</v>
      </c>
      <c r="C184" s="46">
        <v>188</v>
      </c>
    </row>
    <row r="185" spans="2:3">
      <c r="B185" s="10" t="s">
        <v>427</v>
      </c>
      <c r="C185" s="46">
        <v>204</v>
      </c>
    </row>
    <row r="186" spans="2:3">
      <c r="B186" s="10" t="s">
        <v>428</v>
      </c>
      <c r="C186" s="46">
        <v>220</v>
      </c>
    </row>
    <row r="187" spans="2:3">
      <c r="B187" s="10" t="s">
        <v>429</v>
      </c>
      <c r="C187" s="46">
        <v>235</v>
      </c>
    </row>
    <row r="188" spans="2:3">
      <c r="B188" s="10" t="s">
        <v>430</v>
      </c>
      <c r="C188" s="46">
        <v>351</v>
      </c>
    </row>
    <row r="189" spans="2:3">
      <c r="B189" s="10" t="s">
        <v>431</v>
      </c>
      <c r="C189" s="46">
        <v>367</v>
      </c>
    </row>
    <row r="190" spans="2:3">
      <c r="B190" s="10" t="s">
        <v>432</v>
      </c>
      <c r="C190" s="46">
        <v>100</v>
      </c>
    </row>
    <row r="191" spans="2:3">
      <c r="B191" s="10" t="s">
        <v>433</v>
      </c>
      <c r="C191" s="46">
        <v>130</v>
      </c>
    </row>
    <row r="192" spans="2:3">
      <c r="B192" s="10" t="s">
        <v>434</v>
      </c>
      <c r="C192" s="46">
        <v>148</v>
      </c>
    </row>
    <row r="193" spans="2:3">
      <c r="B193" s="10" t="s">
        <v>435</v>
      </c>
      <c r="C193" s="46">
        <v>166</v>
      </c>
    </row>
    <row r="194" spans="2:3">
      <c r="B194" s="10" t="s">
        <v>436</v>
      </c>
      <c r="C194" s="46">
        <v>185</v>
      </c>
    </row>
    <row r="195" spans="2:3">
      <c r="B195" s="10" t="s">
        <v>437</v>
      </c>
      <c r="C195" s="46">
        <v>204</v>
      </c>
    </row>
    <row r="196" spans="2:3">
      <c r="B196" s="10" t="s">
        <v>438</v>
      </c>
      <c r="C196" s="46">
        <v>222</v>
      </c>
    </row>
    <row r="197" spans="2:3">
      <c r="B197" s="10" t="s">
        <v>439</v>
      </c>
      <c r="C197" s="46">
        <v>246</v>
      </c>
    </row>
    <row r="198" spans="2:3">
      <c r="B198" s="10" t="s">
        <v>440</v>
      </c>
      <c r="C198" s="46">
        <v>265</v>
      </c>
    </row>
    <row r="199" spans="2:3">
      <c r="B199" s="10" t="s">
        <v>441</v>
      </c>
      <c r="C199" s="46">
        <v>283</v>
      </c>
    </row>
    <row r="200" spans="2:3">
      <c r="B200" s="10" t="s">
        <v>442</v>
      </c>
      <c r="C200" s="46">
        <v>302</v>
      </c>
    </row>
    <row r="201" spans="2:3">
      <c r="B201" s="10" t="s">
        <v>443</v>
      </c>
      <c r="C201" s="46">
        <v>321</v>
      </c>
    </row>
    <row r="202" spans="2:3">
      <c r="B202" s="10"/>
      <c r="C202" s="46"/>
    </row>
    <row r="203" spans="2:3">
      <c r="B203" s="1" t="s">
        <v>488</v>
      </c>
      <c r="C203" s="7">
        <v>7.2</v>
      </c>
    </row>
    <row r="204" spans="2:3">
      <c r="B204" s="1" t="s">
        <v>487</v>
      </c>
      <c r="C204" s="7">
        <v>5</v>
      </c>
    </row>
    <row r="205" spans="2:3">
      <c r="B205" s="1" t="s">
        <v>486</v>
      </c>
      <c r="C205" s="7">
        <v>5.8</v>
      </c>
    </row>
    <row r="206" spans="2:3">
      <c r="B206" t="s">
        <v>485</v>
      </c>
      <c r="C206" s="7">
        <v>2.6</v>
      </c>
    </row>
    <row r="207" spans="2:3">
      <c r="B207" s="49" t="s">
        <v>489</v>
      </c>
      <c r="C207" s="7">
        <v>3</v>
      </c>
    </row>
    <row r="208" spans="2:3">
      <c r="B208" t="s">
        <v>490</v>
      </c>
      <c r="C208" s="7">
        <v>1.2</v>
      </c>
    </row>
    <row r="209" spans="2:3">
      <c r="B209" s="10" t="s">
        <v>491</v>
      </c>
      <c r="C209" s="7">
        <v>1.1299999999999999</v>
      </c>
    </row>
    <row r="210" spans="2:3">
      <c r="B210" t="s">
        <v>310</v>
      </c>
      <c r="C210" s="7">
        <v>3.33</v>
      </c>
    </row>
    <row r="211" spans="2:3">
      <c r="B211" t="s">
        <v>288</v>
      </c>
      <c r="C211" s="7">
        <v>26.92</v>
      </c>
    </row>
    <row r="212" spans="2:3">
      <c r="B212" t="s">
        <v>289</v>
      </c>
      <c r="C212" s="7">
        <v>14.54</v>
      </c>
    </row>
    <row r="213" spans="2:3">
      <c r="B213" t="s">
        <v>492</v>
      </c>
      <c r="C213" s="7">
        <v>15.62</v>
      </c>
    </row>
    <row r="214" spans="2:3">
      <c r="B214" t="s">
        <v>295</v>
      </c>
      <c r="C214" s="7">
        <v>15.64</v>
      </c>
    </row>
    <row r="215" spans="2:3">
      <c r="B215" t="s">
        <v>292</v>
      </c>
      <c r="C215" s="7">
        <v>24.13</v>
      </c>
    </row>
    <row r="216" spans="2:3">
      <c r="B216" t="s">
        <v>291</v>
      </c>
      <c r="C216" s="7">
        <v>9.1199999999999992</v>
      </c>
    </row>
    <row r="217" spans="2:3">
      <c r="B217" t="s">
        <v>290</v>
      </c>
      <c r="C217" s="7">
        <v>26.17</v>
      </c>
    </row>
    <row r="218" spans="2:3">
      <c r="B218" t="s">
        <v>293</v>
      </c>
      <c r="C218" s="7">
        <v>36.19</v>
      </c>
    </row>
    <row r="219" spans="2:3">
      <c r="B219" t="s">
        <v>294</v>
      </c>
      <c r="C219" s="7">
        <v>27.35</v>
      </c>
    </row>
    <row r="220" spans="2:3">
      <c r="B220" t="s">
        <v>296</v>
      </c>
      <c r="C220" s="7">
        <v>6.61</v>
      </c>
    </row>
    <row r="221" spans="2:3">
      <c r="B221" t="s">
        <v>307</v>
      </c>
      <c r="C221" s="7">
        <v>21.8</v>
      </c>
    </row>
    <row r="222" spans="2:3">
      <c r="B222" t="s">
        <v>297</v>
      </c>
      <c r="C222" s="7">
        <v>28.12</v>
      </c>
    </row>
    <row r="223" spans="2:3">
      <c r="B223" t="s">
        <v>298</v>
      </c>
      <c r="C223" s="7">
        <v>8.9</v>
      </c>
    </row>
    <row r="224" spans="2:3">
      <c r="B224" t="s">
        <v>301</v>
      </c>
      <c r="C224" s="7">
        <v>19</v>
      </c>
    </row>
    <row r="225" spans="2:3">
      <c r="B225" t="s">
        <v>300</v>
      </c>
      <c r="C225" s="7">
        <v>13.6</v>
      </c>
    </row>
    <row r="226" spans="2:3">
      <c r="B226" t="s">
        <v>299</v>
      </c>
      <c r="C226" s="7">
        <v>23</v>
      </c>
    </row>
    <row r="227" spans="2:3">
      <c r="B227" t="s">
        <v>302</v>
      </c>
      <c r="C227" s="7">
        <v>13.4</v>
      </c>
    </row>
    <row r="228" spans="2:3">
      <c r="B228" t="s">
        <v>304</v>
      </c>
      <c r="C228" s="7">
        <v>25</v>
      </c>
    </row>
    <row r="229" spans="2:3">
      <c r="B229" t="s">
        <v>303</v>
      </c>
      <c r="C229" s="7">
        <v>24.13</v>
      </c>
    </row>
    <row r="230" spans="2:3">
      <c r="B230" t="s">
        <v>305</v>
      </c>
      <c r="C230" s="7">
        <v>9.76</v>
      </c>
    </row>
    <row r="231" spans="2:3">
      <c r="B231" t="s">
        <v>306</v>
      </c>
      <c r="C231" s="7">
        <v>9.51</v>
      </c>
    </row>
    <row r="232" spans="2:3">
      <c r="B232" t="s">
        <v>308</v>
      </c>
      <c r="C232" s="7">
        <v>36.200000000000003</v>
      </c>
    </row>
    <row r="233" spans="2:3">
      <c r="B233" t="s">
        <v>309</v>
      </c>
      <c r="C233" s="7">
        <v>27</v>
      </c>
    </row>
    <row r="234" spans="2:3">
      <c r="B234" t="s">
        <v>316</v>
      </c>
      <c r="C234" s="7">
        <v>17</v>
      </c>
    </row>
    <row r="235" spans="2:3">
      <c r="B235" t="s">
        <v>315</v>
      </c>
      <c r="C235" s="7">
        <v>19</v>
      </c>
    </row>
    <row r="236" spans="2:3">
      <c r="B236" t="s">
        <v>314</v>
      </c>
      <c r="C236" s="7">
        <v>30</v>
      </c>
    </row>
    <row r="237" spans="2:3">
      <c r="B237" t="s">
        <v>313</v>
      </c>
      <c r="C237" s="7">
        <v>28</v>
      </c>
    </row>
    <row r="238" spans="2:3">
      <c r="B238" t="s">
        <v>312</v>
      </c>
      <c r="C238" s="7">
        <v>30</v>
      </c>
    </row>
    <row r="239" spans="2:3">
      <c r="B239" t="s">
        <v>311</v>
      </c>
      <c r="C239" s="7">
        <v>32</v>
      </c>
    </row>
    <row r="240" spans="2:3">
      <c r="B240" t="s">
        <v>493</v>
      </c>
      <c r="C240" s="7">
        <v>22</v>
      </c>
    </row>
    <row r="241" spans="2:3">
      <c r="B241" t="s">
        <v>494</v>
      </c>
      <c r="C241" s="7">
        <v>36</v>
      </c>
    </row>
    <row r="242" spans="2:3">
      <c r="B242" t="s">
        <v>444</v>
      </c>
      <c r="C242" s="7">
        <v>8</v>
      </c>
    </row>
    <row r="243" spans="2:3">
      <c r="B243" t="s">
        <v>445</v>
      </c>
      <c r="C243" s="7">
        <v>30</v>
      </c>
    </row>
    <row r="244" spans="2:3">
      <c r="B244" s="91" t="s">
        <v>495</v>
      </c>
      <c r="C244" s="7">
        <v>23.5</v>
      </c>
    </row>
    <row r="245" spans="2:3">
      <c r="B245" t="s">
        <v>496</v>
      </c>
      <c r="C245" s="7">
        <v>5.05</v>
      </c>
    </row>
    <row r="246" spans="2:3">
      <c r="B246" s="9" t="s">
        <v>497</v>
      </c>
      <c r="C246" s="7">
        <v>17.670000000000002</v>
      </c>
    </row>
    <row r="247" spans="2:3">
      <c r="B247" t="s">
        <v>498</v>
      </c>
      <c r="C247" s="7">
        <v>6.74</v>
      </c>
    </row>
    <row r="248" spans="2:3">
      <c r="B248" t="s">
        <v>499</v>
      </c>
      <c r="C248" s="7">
        <v>7.86</v>
      </c>
    </row>
    <row r="249" spans="2:3">
      <c r="B249" t="s">
        <v>500</v>
      </c>
      <c r="C249" s="7">
        <v>22</v>
      </c>
    </row>
    <row r="250" spans="2:3">
      <c r="B250" t="s">
        <v>501</v>
      </c>
      <c r="C250" s="7">
        <v>1.1200000000000001</v>
      </c>
    </row>
    <row r="251" spans="2:3">
      <c r="B251" t="s">
        <v>502</v>
      </c>
      <c r="C251" s="7">
        <v>75.84</v>
      </c>
    </row>
    <row r="252" spans="2:3">
      <c r="B252" t="s">
        <v>503</v>
      </c>
      <c r="C252" s="7">
        <v>73.400000000000006</v>
      </c>
    </row>
    <row r="253" spans="2:3">
      <c r="B253" t="s">
        <v>504</v>
      </c>
      <c r="C253" s="7">
        <v>48.52</v>
      </c>
    </row>
    <row r="254" spans="2:3">
      <c r="B254" t="s">
        <v>505</v>
      </c>
      <c r="C254" s="7">
        <v>8.6</v>
      </c>
    </row>
    <row r="255" spans="2:3">
      <c r="B255" s="91" t="s">
        <v>506</v>
      </c>
      <c r="C255" s="7">
        <v>2.17</v>
      </c>
    </row>
    <row r="256" spans="2:3">
      <c r="C256" s="7">
        <v>0</v>
      </c>
    </row>
    <row r="259" spans="3:3">
      <c r="C259" s="7">
        <v>0</v>
      </c>
    </row>
    <row r="262" spans="3:3">
      <c r="C262" s="7">
        <v>0</v>
      </c>
    </row>
  </sheetData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E51EA-C4DF-4EE3-8957-315F9CEEE07D}">
  <sheetPr codeName="Sheet7"/>
  <dimension ref="A1:AE56"/>
  <sheetViews>
    <sheetView zoomScaleNormal="68" workbookViewId="0">
      <selection activeCell="U33" sqref="U33"/>
    </sheetView>
  </sheetViews>
  <sheetFormatPr defaultColWidth="8.77734375" defaultRowHeight="14.4"/>
  <sheetData>
    <row r="1" spans="1:31">
      <c r="A1" s="50" t="s">
        <v>184</v>
      </c>
      <c r="B1" s="51" t="s">
        <v>35</v>
      </c>
      <c r="C1" s="52" t="s">
        <v>36</v>
      </c>
      <c r="D1" s="10"/>
      <c r="E1" s="50" t="s">
        <v>37</v>
      </c>
      <c r="F1" s="51" t="s">
        <v>35</v>
      </c>
      <c r="G1" s="52" t="s">
        <v>36</v>
      </c>
      <c r="H1" s="10"/>
      <c r="I1" s="50" t="s">
        <v>38</v>
      </c>
      <c r="J1" s="51" t="s">
        <v>35</v>
      </c>
      <c r="K1" s="52" t="s">
        <v>36</v>
      </c>
      <c r="L1" s="10"/>
      <c r="M1" s="50" t="s">
        <v>39</v>
      </c>
      <c r="N1" s="51" t="s">
        <v>35</v>
      </c>
      <c r="O1" s="52" t="s">
        <v>36</v>
      </c>
      <c r="P1" s="10"/>
      <c r="Q1" s="50" t="s">
        <v>40</v>
      </c>
      <c r="R1" s="51" t="s">
        <v>35</v>
      </c>
      <c r="S1" s="52" t="s">
        <v>36</v>
      </c>
      <c r="T1" s="10"/>
      <c r="U1" s="139" t="s">
        <v>41</v>
      </c>
      <c r="V1" s="139"/>
      <c r="W1" s="52" t="s">
        <v>36</v>
      </c>
      <c r="X1" s="10"/>
      <c r="Y1" s="131" t="s">
        <v>512</v>
      </c>
      <c r="Z1" s="132"/>
      <c r="AA1" s="53" t="s">
        <v>65</v>
      </c>
      <c r="AB1" s="10"/>
      <c r="AC1" s="10"/>
      <c r="AD1" s="10"/>
    </row>
    <row r="2" spans="1:31">
      <c r="A2" s="54" t="s">
        <v>43</v>
      </c>
      <c r="B2" s="54" t="s">
        <v>42</v>
      </c>
      <c r="C2" s="55">
        <v>3.27</v>
      </c>
      <c r="D2" s="56"/>
      <c r="E2" s="54" t="s">
        <v>43</v>
      </c>
      <c r="F2" s="57" t="s">
        <v>42</v>
      </c>
      <c r="G2" s="55">
        <v>4.8600000000000003</v>
      </c>
      <c r="H2" s="8"/>
      <c r="I2" s="54" t="s">
        <v>44</v>
      </c>
      <c r="J2" s="55">
        <v>10.67</v>
      </c>
      <c r="K2" s="58">
        <v>11.44</v>
      </c>
      <c r="L2" s="56"/>
      <c r="M2" s="54" t="s">
        <v>44</v>
      </c>
      <c r="N2" s="55">
        <v>13.33</v>
      </c>
      <c r="O2" s="55">
        <v>14.3</v>
      </c>
      <c r="P2" s="56"/>
      <c r="Q2" s="54" t="s">
        <v>44</v>
      </c>
      <c r="R2" s="57">
        <v>16</v>
      </c>
      <c r="S2" s="55">
        <v>17.45</v>
      </c>
      <c r="T2" s="10"/>
      <c r="U2" s="124" t="s">
        <v>45</v>
      </c>
      <c r="V2" s="124"/>
      <c r="W2" s="64">
        <v>17.649999999999999</v>
      </c>
      <c r="X2" s="8"/>
      <c r="Y2" s="133" t="s">
        <v>513</v>
      </c>
      <c r="Z2" s="134"/>
      <c r="AA2" s="86">
        <v>2.84</v>
      </c>
      <c r="AB2" s="10"/>
      <c r="AC2" s="10"/>
      <c r="AD2" s="10"/>
      <c r="AE2" s="10"/>
    </row>
    <row r="3" spans="1:31">
      <c r="A3" s="54" t="s">
        <v>46</v>
      </c>
      <c r="B3" s="54" t="s">
        <v>42</v>
      </c>
      <c r="C3" s="55">
        <v>4.2699999999999996</v>
      </c>
      <c r="D3" s="56"/>
      <c r="E3" s="54" t="s">
        <v>46</v>
      </c>
      <c r="F3" s="57" t="s">
        <v>42</v>
      </c>
      <c r="G3" s="55">
        <v>6.4</v>
      </c>
      <c r="H3" s="8"/>
      <c r="I3" s="54" t="s">
        <v>47</v>
      </c>
      <c r="J3" s="55">
        <v>13.33</v>
      </c>
      <c r="K3" s="55">
        <v>14.3</v>
      </c>
      <c r="L3" s="56"/>
      <c r="M3" s="54" t="s">
        <v>47</v>
      </c>
      <c r="N3" s="55">
        <v>16.670000000000002</v>
      </c>
      <c r="O3" s="55">
        <v>17.88</v>
      </c>
      <c r="P3" s="56"/>
      <c r="Q3" s="54" t="s">
        <v>47</v>
      </c>
      <c r="R3" s="57">
        <v>20</v>
      </c>
      <c r="S3" s="55">
        <v>21.82</v>
      </c>
      <c r="T3" s="10"/>
      <c r="U3" s="124" t="s">
        <v>48</v>
      </c>
      <c r="V3" s="124"/>
      <c r="W3" s="64">
        <v>20.79</v>
      </c>
      <c r="X3" s="8"/>
      <c r="Y3" s="135" t="s">
        <v>514</v>
      </c>
      <c r="Z3" s="136"/>
      <c r="AA3" s="86">
        <v>2.5</v>
      </c>
      <c r="AB3" s="10"/>
      <c r="AC3" s="10"/>
      <c r="AD3" s="10"/>
      <c r="AE3" s="10"/>
    </row>
    <row r="4" spans="1:31">
      <c r="A4" s="65" t="s">
        <v>50</v>
      </c>
      <c r="B4" s="65" t="s">
        <v>42</v>
      </c>
      <c r="C4" s="67">
        <v>4.62</v>
      </c>
      <c r="D4" s="8"/>
      <c r="E4" s="65" t="s">
        <v>50</v>
      </c>
      <c r="F4" s="65" t="s">
        <v>42</v>
      </c>
      <c r="G4" s="67">
        <v>7.23</v>
      </c>
      <c r="H4" s="8"/>
      <c r="I4" s="54" t="s">
        <v>51</v>
      </c>
      <c r="J4" s="55">
        <v>16</v>
      </c>
      <c r="K4" s="55">
        <v>17.16</v>
      </c>
      <c r="L4" s="56"/>
      <c r="M4" s="54" t="s">
        <v>51</v>
      </c>
      <c r="N4" s="55">
        <v>20</v>
      </c>
      <c r="O4" s="55">
        <v>21.45</v>
      </c>
      <c r="P4" s="56"/>
      <c r="Q4" s="54" t="s">
        <v>51</v>
      </c>
      <c r="R4" s="57">
        <v>24</v>
      </c>
      <c r="S4" s="55">
        <v>26.18</v>
      </c>
      <c r="T4" s="10"/>
      <c r="U4" s="124" t="s">
        <v>52</v>
      </c>
      <c r="V4" s="124"/>
      <c r="W4" s="64">
        <v>27.07</v>
      </c>
      <c r="X4" s="8"/>
      <c r="Y4" s="137" t="s">
        <v>515</v>
      </c>
      <c r="Z4" s="138"/>
      <c r="AA4" s="84">
        <v>1.97</v>
      </c>
      <c r="AB4" s="10"/>
      <c r="AC4" s="10"/>
      <c r="AD4" s="10"/>
      <c r="AE4" s="10"/>
    </row>
    <row r="5" spans="1:31">
      <c r="A5" s="65" t="s">
        <v>44</v>
      </c>
      <c r="B5" s="67">
        <v>5.33</v>
      </c>
      <c r="C5" s="67">
        <v>4.18</v>
      </c>
      <c r="D5" s="8"/>
      <c r="E5" s="54" t="s">
        <v>44</v>
      </c>
      <c r="F5" s="57">
        <v>8</v>
      </c>
      <c r="G5" s="55">
        <v>6.28</v>
      </c>
      <c r="H5" s="8"/>
      <c r="I5" s="54" t="s">
        <v>53</v>
      </c>
      <c r="J5" s="55">
        <v>18.670000000000002</v>
      </c>
      <c r="K5" s="55">
        <v>20.02</v>
      </c>
      <c r="L5" s="56"/>
      <c r="M5" s="54" t="s">
        <v>53</v>
      </c>
      <c r="N5" s="55">
        <v>23.33</v>
      </c>
      <c r="O5" s="55">
        <v>25.02</v>
      </c>
      <c r="P5" s="56"/>
      <c r="Q5" s="54" t="s">
        <v>53</v>
      </c>
      <c r="R5" s="57">
        <v>28</v>
      </c>
      <c r="S5" s="55">
        <v>30.54</v>
      </c>
      <c r="T5" s="10"/>
      <c r="U5" s="124" t="s">
        <v>54</v>
      </c>
      <c r="V5" s="124"/>
      <c r="W5" s="64">
        <v>32.76</v>
      </c>
      <c r="X5" s="8"/>
      <c r="Y5" s="122"/>
      <c r="Z5" s="123"/>
      <c r="AA5" s="84"/>
      <c r="AB5" s="10"/>
      <c r="AC5" s="10"/>
      <c r="AD5" s="10"/>
      <c r="AE5" s="10"/>
    </row>
    <row r="6" spans="1:31">
      <c r="A6" s="65" t="s">
        <v>47</v>
      </c>
      <c r="B6" s="67">
        <v>6.67</v>
      </c>
      <c r="C6" s="67">
        <v>5.24</v>
      </c>
      <c r="D6" s="8"/>
      <c r="E6" s="54" t="s">
        <v>47</v>
      </c>
      <c r="F6" s="57">
        <v>10</v>
      </c>
      <c r="G6" s="55">
        <v>7.85</v>
      </c>
      <c r="H6" s="8"/>
      <c r="I6" s="54" t="s">
        <v>55</v>
      </c>
      <c r="J6" s="55">
        <v>21.33</v>
      </c>
      <c r="K6" s="55">
        <v>22.89</v>
      </c>
      <c r="L6" s="56"/>
      <c r="M6" s="54" t="s">
        <v>55</v>
      </c>
      <c r="N6" s="55">
        <v>26.67</v>
      </c>
      <c r="O6" s="55">
        <v>28.61</v>
      </c>
      <c r="P6" s="56"/>
      <c r="Q6" s="54" t="s">
        <v>55</v>
      </c>
      <c r="R6" s="57">
        <v>32</v>
      </c>
      <c r="S6" s="55">
        <v>38.840000000000003</v>
      </c>
      <c r="T6" s="10"/>
      <c r="U6" s="124" t="s">
        <v>56</v>
      </c>
      <c r="V6" s="124"/>
      <c r="W6" s="64">
        <v>39.619999999999997</v>
      </c>
      <c r="X6" s="8"/>
      <c r="Y6" s="127"/>
      <c r="Z6" s="128"/>
      <c r="AA6" s="82"/>
      <c r="AB6" s="10"/>
      <c r="AC6" s="10"/>
      <c r="AD6" s="10"/>
      <c r="AE6" s="10"/>
    </row>
    <row r="7" spans="1:31">
      <c r="A7" s="65" t="s">
        <v>51</v>
      </c>
      <c r="B7" s="67">
        <v>8</v>
      </c>
      <c r="C7" s="67">
        <v>6.28</v>
      </c>
      <c r="D7" s="8"/>
      <c r="E7" s="54" t="s">
        <v>51</v>
      </c>
      <c r="F7" s="57">
        <v>12</v>
      </c>
      <c r="G7" s="55">
        <v>9.42</v>
      </c>
      <c r="H7" s="8"/>
      <c r="I7" s="54" t="s">
        <v>57</v>
      </c>
      <c r="J7" s="55">
        <v>24</v>
      </c>
      <c r="K7" s="55" t="s">
        <v>49</v>
      </c>
      <c r="L7" s="56"/>
      <c r="M7" s="54" t="s">
        <v>57</v>
      </c>
      <c r="N7" s="55">
        <v>30</v>
      </c>
      <c r="O7" s="55" t="s">
        <v>49</v>
      </c>
      <c r="P7" s="56"/>
      <c r="Q7" s="54" t="s">
        <v>57</v>
      </c>
      <c r="R7" s="57">
        <v>36</v>
      </c>
      <c r="S7" s="55" t="s">
        <v>49</v>
      </c>
      <c r="T7" s="10"/>
      <c r="U7" s="124" t="s">
        <v>58</v>
      </c>
      <c r="V7" s="124"/>
      <c r="W7" s="64">
        <v>9.9499999999999993</v>
      </c>
      <c r="X7" s="10"/>
      <c r="Y7" s="119"/>
      <c r="Z7" s="120"/>
      <c r="AA7" s="63"/>
      <c r="AB7" s="10"/>
      <c r="AC7" s="10"/>
      <c r="AD7" s="10"/>
      <c r="AE7" s="10"/>
    </row>
    <row r="8" spans="1:31">
      <c r="A8" s="65" t="s">
        <v>53</v>
      </c>
      <c r="B8" s="67">
        <v>9.33</v>
      </c>
      <c r="C8" s="67">
        <v>6.28</v>
      </c>
      <c r="D8" s="8"/>
      <c r="E8" s="54" t="s">
        <v>53</v>
      </c>
      <c r="F8" s="57">
        <v>14</v>
      </c>
      <c r="G8" s="55">
        <v>10.98</v>
      </c>
      <c r="H8" s="8"/>
      <c r="I8" s="54" t="s">
        <v>59</v>
      </c>
      <c r="J8" s="55">
        <v>26.67</v>
      </c>
      <c r="K8" s="55">
        <v>31.87</v>
      </c>
      <c r="L8" s="56"/>
      <c r="M8" s="54" t="s">
        <v>59</v>
      </c>
      <c r="N8" s="55">
        <v>33.299999999999997</v>
      </c>
      <c r="O8" s="55">
        <v>39.840000000000003</v>
      </c>
      <c r="P8" s="56"/>
      <c r="Q8" s="54" t="s">
        <v>59</v>
      </c>
      <c r="R8" s="57">
        <v>40</v>
      </c>
      <c r="S8" s="55">
        <v>60.8</v>
      </c>
      <c r="T8" s="10"/>
      <c r="U8" s="124" t="s">
        <v>60</v>
      </c>
      <c r="V8" s="124"/>
      <c r="W8" s="64">
        <v>11.8</v>
      </c>
      <c r="X8" s="10"/>
      <c r="Y8" s="119"/>
      <c r="Z8" s="120"/>
      <c r="AA8" s="63"/>
      <c r="AB8" s="10"/>
      <c r="AC8" s="10"/>
      <c r="AD8" s="10"/>
      <c r="AE8" s="10"/>
    </row>
    <row r="9" spans="1:31">
      <c r="A9" s="65" t="s">
        <v>55</v>
      </c>
      <c r="B9" s="67">
        <v>10.67</v>
      </c>
      <c r="C9" s="67">
        <v>8.3699999999999992</v>
      </c>
      <c r="D9" s="8"/>
      <c r="E9" s="54" t="s">
        <v>55</v>
      </c>
      <c r="F9" s="57">
        <v>16</v>
      </c>
      <c r="G9" s="55">
        <v>12.55</v>
      </c>
      <c r="H9" s="8"/>
      <c r="I9" s="65"/>
      <c r="J9" s="65"/>
      <c r="K9" s="98"/>
      <c r="L9" s="8"/>
      <c r="M9" s="65"/>
      <c r="N9" s="65"/>
      <c r="O9" s="60"/>
      <c r="P9" s="8"/>
      <c r="Q9" s="65"/>
      <c r="R9" s="66"/>
      <c r="S9" s="60"/>
      <c r="T9" s="10"/>
      <c r="U9" s="124" t="s">
        <v>61</v>
      </c>
      <c r="V9" s="124"/>
      <c r="W9" s="64">
        <v>15.4</v>
      </c>
      <c r="X9" s="10"/>
      <c r="Y9" s="119"/>
      <c r="Z9" s="120"/>
      <c r="AA9" s="63"/>
      <c r="AB9" s="10"/>
      <c r="AC9" s="10"/>
      <c r="AD9" s="10"/>
      <c r="AE9" s="10"/>
    </row>
    <row r="10" spans="1:31">
      <c r="A10" s="65" t="s">
        <v>57</v>
      </c>
      <c r="B10" s="67">
        <v>12</v>
      </c>
      <c r="C10" s="67" t="s">
        <v>49</v>
      </c>
      <c r="D10" s="8"/>
      <c r="E10" s="54" t="s">
        <v>57</v>
      </c>
      <c r="F10" s="57">
        <v>18</v>
      </c>
      <c r="G10" s="55" t="s">
        <v>49</v>
      </c>
      <c r="H10" s="8"/>
      <c r="I10" s="65"/>
      <c r="J10" s="65"/>
      <c r="K10" s="60"/>
      <c r="L10" s="8"/>
      <c r="M10" s="65"/>
      <c r="N10" s="65"/>
      <c r="O10" s="67"/>
      <c r="P10" s="8"/>
      <c r="Q10" s="65"/>
      <c r="R10" s="66"/>
      <c r="S10" s="67"/>
      <c r="T10" s="10"/>
      <c r="U10" s="124" t="s">
        <v>62</v>
      </c>
      <c r="V10" s="124"/>
      <c r="W10" s="64">
        <v>18.600000000000001</v>
      </c>
      <c r="X10" s="10"/>
      <c r="Y10" s="119"/>
      <c r="Z10" s="120"/>
      <c r="AA10" s="63"/>
      <c r="AB10" s="10"/>
      <c r="AC10" s="10"/>
      <c r="AD10" s="10"/>
      <c r="AE10" s="10"/>
    </row>
    <row r="11" spans="1:31">
      <c r="A11" s="65" t="s">
        <v>59</v>
      </c>
      <c r="B11" s="67">
        <v>13.3</v>
      </c>
      <c r="C11" s="67">
        <v>12.09</v>
      </c>
      <c r="D11" s="8"/>
      <c r="E11" s="54" t="s">
        <v>59</v>
      </c>
      <c r="F11" s="57">
        <v>20</v>
      </c>
      <c r="G11" s="55">
        <v>18.149999999999999</v>
      </c>
      <c r="H11" s="8"/>
      <c r="I11" s="82"/>
      <c r="J11" s="82"/>
      <c r="K11" s="82"/>
      <c r="L11" s="8"/>
      <c r="M11" s="82"/>
      <c r="N11" s="82"/>
      <c r="O11" s="82"/>
      <c r="P11" s="8"/>
      <c r="Q11" s="82"/>
      <c r="R11" s="82"/>
      <c r="S11" s="82"/>
      <c r="T11" s="10"/>
      <c r="U11" s="125" t="s">
        <v>63</v>
      </c>
      <c r="V11" s="126"/>
      <c r="W11" s="64">
        <v>21.2</v>
      </c>
      <c r="X11" s="10"/>
      <c r="Y11" s="119"/>
      <c r="Z11" s="120"/>
      <c r="AA11" s="63"/>
      <c r="AB11" s="10"/>
      <c r="AC11" s="10"/>
      <c r="AD11" s="10"/>
      <c r="AE11" s="10"/>
    </row>
    <row r="12" spans="1:3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0"/>
      <c r="U12" s="127" t="s">
        <v>64</v>
      </c>
      <c r="V12" s="128"/>
      <c r="W12" s="67">
        <v>15.75</v>
      </c>
      <c r="X12" s="10"/>
      <c r="AB12" s="10"/>
      <c r="AC12" s="10"/>
      <c r="AD12" s="10"/>
      <c r="AE12" s="10"/>
    </row>
    <row r="13" spans="1:3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10"/>
      <c r="U13" s="92"/>
      <c r="V13" s="71"/>
      <c r="W13" s="55"/>
      <c r="X13" s="10"/>
      <c r="AB13" s="10"/>
      <c r="AC13" s="10"/>
      <c r="AD13" s="10"/>
      <c r="AE13" s="10"/>
    </row>
    <row r="14" spans="1:31">
      <c r="A14" s="144" t="s">
        <v>185</v>
      </c>
      <c r="B14" s="144"/>
      <c r="C14" s="72" t="s">
        <v>65</v>
      </c>
      <c r="D14" s="8"/>
      <c r="E14" s="144" t="s">
        <v>66</v>
      </c>
      <c r="F14" s="144"/>
      <c r="G14" s="72" t="s">
        <v>36</v>
      </c>
      <c r="H14" s="8"/>
      <c r="I14" s="145" t="s">
        <v>516</v>
      </c>
      <c r="J14" s="146"/>
      <c r="K14" s="73" t="s">
        <v>457</v>
      </c>
      <c r="L14" s="8"/>
      <c r="M14" s="144" t="s">
        <v>67</v>
      </c>
      <c r="N14" s="144"/>
      <c r="O14" s="72" t="s">
        <v>68</v>
      </c>
      <c r="P14" s="8"/>
      <c r="Q14" s="144" t="s">
        <v>69</v>
      </c>
      <c r="R14" s="144"/>
      <c r="S14" s="72" t="s">
        <v>36</v>
      </c>
      <c r="T14" s="10"/>
      <c r="U14" s="139" t="s">
        <v>70</v>
      </c>
      <c r="V14" s="139"/>
      <c r="W14" s="52" t="s">
        <v>36</v>
      </c>
      <c r="X14" s="10"/>
      <c r="Y14" s="140" t="s">
        <v>71</v>
      </c>
      <c r="Z14" s="141"/>
      <c r="AA14" s="62" t="s">
        <v>458</v>
      </c>
      <c r="AB14" s="62" t="s">
        <v>459</v>
      </c>
      <c r="AC14" s="62" t="s">
        <v>460</v>
      </c>
      <c r="AD14" s="62" t="s">
        <v>461</v>
      </c>
      <c r="AE14" s="10"/>
    </row>
    <row r="15" spans="1:31">
      <c r="A15" s="124" t="s">
        <v>186</v>
      </c>
      <c r="B15" s="124"/>
      <c r="C15" s="55">
        <v>0.81</v>
      </c>
      <c r="D15" s="8"/>
      <c r="E15" s="113" t="s">
        <v>72</v>
      </c>
      <c r="F15" s="113"/>
      <c r="G15" s="60">
        <v>26.6</v>
      </c>
      <c r="H15" s="8"/>
      <c r="I15" s="114" t="s">
        <v>73</v>
      </c>
      <c r="J15" s="142"/>
      <c r="K15" s="74">
        <v>18.760000000000002</v>
      </c>
      <c r="L15" s="8"/>
      <c r="M15" s="113" t="s">
        <v>74</v>
      </c>
      <c r="N15" s="113"/>
      <c r="O15" s="67">
        <v>0.47</v>
      </c>
      <c r="P15" s="8"/>
      <c r="Q15" s="113" t="s">
        <v>75</v>
      </c>
      <c r="R15" s="113"/>
      <c r="S15" s="60">
        <v>23.09</v>
      </c>
      <c r="T15" s="10"/>
      <c r="U15" s="143" t="s">
        <v>76</v>
      </c>
      <c r="V15" s="143"/>
      <c r="W15" s="69">
        <v>24.32</v>
      </c>
      <c r="X15" s="10"/>
      <c r="Y15" s="118" t="s">
        <v>77</v>
      </c>
      <c r="Z15" s="118"/>
      <c r="AA15" s="75"/>
      <c r="AB15" s="76">
        <v>6.72</v>
      </c>
      <c r="AC15" s="59">
        <v>14.36</v>
      </c>
      <c r="AD15" s="59">
        <v>22</v>
      </c>
      <c r="AE15" s="10"/>
    </row>
    <row r="16" spans="1:31">
      <c r="A16" s="124" t="s">
        <v>187</v>
      </c>
      <c r="B16" s="124"/>
      <c r="C16" s="55">
        <v>1.1000000000000001</v>
      </c>
      <c r="D16" s="8"/>
      <c r="E16" s="127" t="s">
        <v>78</v>
      </c>
      <c r="F16" s="128"/>
      <c r="G16" s="60">
        <v>73.88</v>
      </c>
      <c r="H16" s="8"/>
      <c r="I16" s="114" t="s">
        <v>79</v>
      </c>
      <c r="J16" s="114"/>
      <c r="K16" s="74">
        <v>10.76</v>
      </c>
      <c r="L16" s="8"/>
      <c r="M16" s="113" t="s">
        <v>80</v>
      </c>
      <c r="N16" s="113"/>
      <c r="O16" s="67">
        <v>0.56999999999999995</v>
      </c>
      <c r="P16" s="8"/>
      <c r="Q16" s="113" t="s">
        <v>81</v>
      </c>
      <c r="R16" s="113"/>
      <c r="S16" s="60">
        <v>24.51</v>
      </c>
      <c r="T16" s="10"/>
      <c r="U16" s="143" t="s">
        <v>82</v>
      </c>
      <c r="V16" s="143"/>
      <c r="W16" s="69">
        <v>25.34</v>
      </c>
      <c r="X16" s="10"/>
      <c r="Y16" s="118" t="s">
        <v>83</v>
      </c>
      <c r="Z16" s="118"/>
      <c r="AA16" s="75">
        <v>4.9400000000000004</v>
      </c>
      <c r="AB16" s="76">
        <v>7.58</v>
      </c>
      <c r="AC16" s="59">
        <v>17.13</v>
      </c>
      <c r="AD16" s="59">
        <v>27.02</v>
      </c>
      <c r="AE16" s="10"/>
    </row>
    <row r="17" spans="1:31">
      <c r="A17" s="124" t="s">
        <v>188</v>
      </c>
      <c r="B17" s="124"/>
      <c r="C17" s="55">
        <v>1.48</v>
      </c>
      <c r="D17" s="8"/>
      <c r="E17" s="127" t="s">
        <v>84</v>
      </c>
      <c r="F17" s="128"/>
      <c r="G17" s="60">
        <v>155.80000000000001</v>
      </c>
      <c r="H17" s="8"/>
      <c r="I17" s="114" t="s">
        <v>85</v>
      </c>
      <c r="J17" s="114"/>
      <c r="K17" s="74">
        <v>12.73</v>
      </c>
      <c r="L17" s="8"/>
      <c r="M17" s="127" t="s">
        <v>86</v>
      </c>
      <c r="N17" s="128"/>
      <c r="O17" s="67">
        <v>0.68</v>
      </c>
      <c r="P17" s="8"/>
      <c r="Q17" s="113" t="s">
        <v>87</v>
      </c>
      <c r="R17" s="113"/>
      <c r="S17" s="60">
        <v>15.39</v>
      </c>
      <c r="T17" s="10"/>
      <c r="U17" s="143" t="s">
        <v>88</v>
      </c>
      <c r="V17" s="143"/>
      <c r="W17" s="69">
        <v>28.88</v>
      </c>
      <c r="X17" s="10"/>
      <c r="Y17" s="118" t="s">
        <v>89</v>
      </c>
      <c r="Z17" s="118"/>
      <c r="AA17" s="75"/>
      <c r="AB17" s="75">
        <v>10.18</v>
      </c>
      <c r="AC17" s="59">
        <v>20.78</v>
      </c>
      <c r="AD17" s="59">
        <v>31.49</v>
      </c>
      <c r="AE17" s="10"/>
    </row>
    <row r="18" spans="1:31">
      <c r="A18" s="143" t="s">
        <v>189</v>
      </c>
      <c r="B18" s="143"/>
      <c r="C18" s="70">
        <v>2.29</v>
      </c>
      <c r="D18" s="8"/>
      <c r="E18" s="127" t="s">
        <v>90</v>
      </c>
      <c r="F18" s="128"/>
      <c r="G18" s="60">
        <v>183.61</v>
      </c>
      <c r="H18" s="8"/>
      <c r="I18" s="142" t="s">
        <v>91</v>
      </c>
      <c r="J18" s="142"/>
      <c r="K18" s="74">
        <v>33.909999999999997</v>
      </c>
      <c r="L18" s="8"/>
      <c r="M18" s="113" t="s">
        <v>92</v>
      </c>
      <c r="N18" s="113"/>
      <c r="O18" s="67">
        <v>1.01</v>
      </c>
      <c r="P18" s="8"/>
      <c r="Q18" s="113" t="s">
        <v>93</v>
      </c>
      <c r="R18" s="113"/>
      <c r="S18" s="60">
        <v>16.34</v>
      </c>
      <c r="T18" s="10"/>
      <c r="U18" s="148" t="s">
        <v>94</v>
      </c>
      <c r="V18" s="143"/>
      <c r="W18" s="69">
        <v>29.83</v>
      </c>
      <c r="X18" s="10"/>
      <c r="Y18" s="118" t="s">
        <v>95</v>
      </c>
      <c r="Z18" s="118"/>
      <c r="AA18" s="75"/>
      <c r="AB18" s="75">
        <v>12.28</v>
      </c>
      <c r="AC18" s="59" t="s">
        <v>96</v>
      </c>
      <c r="AD18" s="59" t="s">
        <v>96</v>
      </c>
      <c r="AE18" s="10"/>
    </row>
    <row r="19" spans="1:31">
      <c r="A19" s="147" t="s">
        <v>190</v>
      </c>
      <c r="B19" s="147"/>
      <c r="C19" s="77">
        <v>2.56</v>
      </c>
      <c r="D19" s="8"/>
      <c r="E19" s="114" t="s">
        <v>97</v>
      </c>
      <c r="F19" s="114"/>
      <c r="G19" s="78">
        <v>116.85</v>
      </c>
      <c r="H19" s="8"/>
      <c r="I19" s="114" t="s">
        <v>98</v>
      </c>
      <c r="J19" s="114"/>
      <c r="K19" s="74">
        <v>19.86</v>
      </c>
      <c r="L19" s="8"/>
      <c r="M19" s="127" t="s">
        <v>99</v>
      </c>
      <c r="N19" s="128"/>
      <c r="O19" s="67">
        <v>0.96</v>
      </c>
      <c r="P19" s="8"/>
      <c r="Q19" s="113" t="s">
        <v>100</v>
      </c>
      <c r="R19" s="113"/>
      <c r="S19" s="60">
        <v>18.809999999999999</v>
      </c>
      <c r="T19" s="10"/>
      <c r="U19" s="148" t="s">
        <v>101</v>
      </c>
      <c r="V19" s="143"/>
      <c r="W19" s="69">
        <v>22.13</v>
      </c>
      <c r="X19" s="10"/>
      <c r="Y19" s="117" t="s">
        <v>102</v>
      </c>
      <c r="Z19" s="117"/>
      <c r="AA19" s="59"/>
      <c r="AB19" s="59">
        <v>14.56</v>
      </c>
      <c r="AC19" s="59"/>
      <c r="AD19" s="59"/>
      <c r="AE19" s="10"/>
    </row>
    <row r="20" spans="1:31">
      <c r="A20" s="114" t="s">
        <v>191</v>
      </c>
      <c r="B20" s="114"/>
      <c r="C20" s="84">
        <v>2.0099999999999998</v>
      </c>
      <c r="D20" s="8"/>
      <c r="E20" s="129" t="s">
        <v>103</v>
      </c>
      <c r="F20" s="129"/>
      <c r="G20" s="99">
        <v>125.4</v>
      </c>
      <c r="H20" s="8"/>
      <c r="I20" s="8"/>
      <c r="J20" s="8"/>
      <c r="K20" s="8"/>
      <c r="L20" s="8"/>
      <c r="M20" s="113" t="s">
        <v>104</v>
      </c>
      <c r="N20" s="113"/>
      <c r="O20" s="67">
        <v>1.1200000000000001</v>
      </c>
      <c r="P20" s="8"/>
      <c r="Q20" s="127" t="s">
        <v>105</v>
      </c>
      <c r="R20" s="130"/>
      <c r="S20" s="128"/>
      <c r="T20" s="10"/>
      <c r="U20" s="148" t="s">
        <v>106</v>
      </c>
      <c r="V20" s="143"/>
      <c r="W20" s="69">
        <v>29.52</v>
      </c>
      <c r="X20" s="10"/>
      <c r="Y20" s="143"/>
      <c r="Z20" s="143"/>
      <c r="AA20" s="68"/>
      <c r="AB20" s="63"/>
      <c r="AC20" s="63"/>
      <c r="AD20" s="63"/>
      <c r="AE20" s="10"/>
    </row>
    <row r="21" spans="1:31">
      <c r="A21" s="114" t="s">
        <v>192</v>
      </c>
      <c r="B21" s="114"/>
      <c r="C21" s="84">
        <v>5.33</v>
      </c>
      <c r="D21" s="8"/>
      <c r="E21" s="137" t="s">
        <v>107</v>
      </c>
      <c r="F21" s="150"/>
      <c r="G21" s="138"/>
      <c r="H21" s="8"/>
      <c r="I21" s="149"/>
      <c r="J21" s="149"/>
      <c r="K21" s="101"/>
      <c r="L21" s="8"/>
      <c r="M21" s="127" t="s">
        <v>108</v>
      </c>
      <c r="N21" s="128"/>
      <c r="O21" s="67">
        <v>1.33</v>
      </c>
      <c r="P21" s="8"/>
      <c r="Q21" s="113"/>
      <c r="R21" s="113"/>
      <c r="S21" s="79"/>
      <c r="T21" s="10"/>
      <c r="U21" s="143"/>
      <c r="V21" s="143"/>
      <c r="W21" s="102"/>
      <c r="X21" s="10"/>
      <c r="Y21" s="143"/>
      <c r="Z21" s="143"/>
      <c r="AA21" s="68"/>
      <c r="AB21" s="63"/>
      <c r="AC21" s="63"/>
      <c r="AD21" s="63"/>
      <c r="AE21" s="10"/>
    </row>
    <row r="22" spans="1:31">
      <c r="A22" s="113"/>
      <c r="B22" s="113"/>
      <c r="C22" s="82"/>
      <c r="D22" s="8"/>
      <c r="E22" s="80"/>
      <c r="F22" s="80"/>
      <c r="G22" s="81"/>
      <c r="H22" s="8"/>
      <c r="I22" s="149"/>
      <c r="J22" s="149"/>
      <c r="K22" s="101"/>
      <c r="L22" s="8"/>
      <c r="M22" s="113" t="s">
        <v>517</v>
      </c>
      <c r="N22" s="113"/>
      <c r="O22" s="82" t="s">
        <v>518</v>
      </c>
      <c r="P22" s="8"/>
      <c r="Q22" s="113"/>
      <c r="R22" s="113"/>
      <c r="S22" s="79"/>
      <c r="T22" s="10"/>
      <c r="U22" s="143"/>
      <c r="V22" s="143"/>
      <c r="W22" s="102"/>
      <c r="X22" s="10"/>
      <c r="Y22" s="143"/>
      <c r="Z22" s="143"/>
      <c r="AA22" s="68"/>
      <c r="AB22" s="63"/>
      <c r="AC22" s="63"/>
      <c r="AD22" s="63"/>
      <c r="AE22" s="10"/>
    </row>
    <row r="23" spans="1:3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0"/>
      <c r="U23" s="121"/>
      <c r="V23" s="121"/>
      <c r="W23" s="103"/>
      <c r="X23" s="10"/>
      <c r="Y23" s="10"/>
      <c r="Z23" s="10"/>
      <c r="AA23" s="10"/>
      <c r="AB23" s="10"/>
      <c r="AC23" s="10"/>
      <c r="AD23" s="10"/>
      <c r="AE23" s="10"/>
    </row>
    <row r="24" spans="1:31">
      <c r="A24" s="144" t="s">
        <v>193</v>
      </c>
      <c r="B24" s="144"/>
      <c r="C24" s="72" t="s">
        <v>36</v>
      </c>
      <c r="D24" s="8"/>
      <c r="E24" s="151" t="s">
        <v>109</v>
      </c>
      <c r="F24" s="151"/>
      <c r="G24" s="73" t="s">
        <v>36</v>
      </c>
      <c r="H24" s="8"/>
      <c r="I24" s="152" t="s">
        <v>462</v>
      </c>
      <c r="J24" s="153"/>
      <c r="K24" s="72" t="s">
        <v>36</v>
      </c>
      <c r="L24" s="8"/>
      <c r="M24" s="151" t="s">
        <v>110</v>
      </c>
      <c r="N24" s="151"/>
      <c r="O24" s="73" t="s">
        <v>36</v>
      </c>
      <c r="P24" s="8"/>
      <c r="Q24" s="144" t="s">
        <v>111</v>
      </c>
      <c r="R24" s="144"/>
      <c r="S24" s="72" t="s">
        <v>65</v>
      </c>
      <c r="T24" s="10"/>
      <c r="U24" s="140" t="s">
        <v>112</v>
      </c>
      <c r="V24" s="140"/>
      <c r="W24" s="61" t="s">
        <v>65</v>
      </c>
      <c r="X24" s="10"/>
      <c r="Y24" s="154" t="s">
        <v>463</v>
      </c>
      <c r="Z24" s="155"/>
      <c r="AA24" s="83" t="s">
        <v>460</v>
      </c>
      <c r="AB24" s="62" t="s">
        <v>464</v>
      </c>
      <c r="AC24" s="62" t="s">
        <v>465</v>
      </c>
      <c r="AD24" s="62" t="s">
        <v>466</v>
      </c>
      <c r="AE24" s="10"/>
    </row>
    <row r="25" spans="1:31">
      <c r="A25" s="113" t="s">
        <v>194</v>
      </c>
      <c r="B25" s="113"/>
      <c r="C25" s="60">
        <v>66.11</v>
      </c>
      <c r="D25" s="8"/>
      <c r="E25" s="122" t="s">
        <v>467</v>
      </c>
      <c r="F25" s="123"/>
      <c r="G25" s="84">
        <v>9.7200000000000006</v>
      </c>
      <c r="H25" s="8"/>
      <c r="I25" s="113" t="s">
        <v>113</v>
      </c>
      <c r="J25" s="113"/>
      <c r="K25" s="60" t="s">
        <v>49</v>
      </c>
      <c r="L25" s="8"/>
      <c r="M25" s="122" t="s">
        <v>114</v>
      </c>
      <c r="N25" s="158"/>
      <c r="O25" s="84">
        <v>7.95</v>
      </c>
      <c r="P25" s="8"/>
      <c r="Q25" s="113" t="s">
        <v>115</v>
      </c>
      <c r="R25" s="113"/>
      <c r="S25" s="67">
        <v>0.77</v>
      </c>
      <c r="T25" s="10"/>
      <c r="U25" s="117" t="s">
        <v>116</v>
      </c>
      <c r="V25" s="117"/>
      <c r="W25" s="59">
        <v>0.92</v>
      </c>
      <c r="X25" s="10"/>
      <c r="Y25" s="157" t="s">
        <v>117</v>
      </c>
      <c r="Z25" s="116"/>
      <c r="AA25" s="85" t="s">
        <v>96</v>
      </c>
      <c r="AB25" s="59">
        <v>13.34</v>
      </c>
      <c r="AC25" s="68" t="s">
        <v>96</v>
      </c>
      <c r="AD25" s="68">
        <v>13.18</v>
      </c>
      <c r="AE25" s="10"/>
    </row>
    <row r="26" spans="1:31">
      <c r="A26" s="156" t="s">
        <v>195</v>
      </c>
      <c r="B26" s="156"/>
      <c r="C26" s="60" t="s">
        <v>49</v>
      </c>
      <c r="D26" s="8"/>
      <c r="E26" s="114" t="s">
        <v>118</v>
      </c>
      <c r="F26" s="114"/>
      <c r="G26" s="78">
        <v>12.25</v>
      </c>
      <c r="H26" s="8"/>
      <c r="I26" s="113" t="s">
        <v>119</v>
      </c>
      <c r="J26" s="113"/>
      <c r="K26" s="60">
        <v>13.3</v>
      </c>
      <c r="L26" s="8"/>
      <c r="M26" s="122" t="s">
        <v>120</v>
      </c>
      <c r="N26" s="123"/>
      <c r="O26" s="84">
        <v>10.9</v>
      </c>
      <c r="P26" s="8"/>
      <c r="Q26" s="113" t="s">
        <v>121</v>
      </c>
      <c r="R26" s="113"/>
      <c r="S26" s="67">
        <v>1.26</v>
      </c>
      <c r="T26" s="10"/>
      <c r="U26" s="118" t="s">
        <v>122</v>
      </c>
      <c r="V26" s="118"/>
      <c r="W26" s="59">
        <v>1.74</v>
      </c>
      <c r="X26" s="10"/>
      <c r="Y26" s="115" t="s">
        <v>123</v>
      </c>
      <c r="Z26" s="116"/>
      <c r="AA26" s="93">
        <v>11.33</v>
      </c>
      <c r="AB26" s="59">
        <v>15.14</v>
      </c>
      <c r="AC26" s="68">
        <v>11.58</v>
      </c>
      <c r="AD26" s="70">
        <v>15.94</v>
      </c>
      <c r="AE26" s="10"/>
    </row>
    <row r="27" spans="1:31">
      <c r="A27" s="156" t="s">
        <v>196</v>
      </c>
      <c r="B27" s="156"/>
      <c r="C27" s="60">
        <v>38.01</v>
      </c>
      <c r="D27" s="8"/>
      <c r="E27" s="114" t="s">
        <v>124</v>
      </c>
      <c r="F27" s="114"/>
      <c r="G27" s="78">
        <v>19.690000000000001</v>
      </c>
      <c r="H27" s="8"/>
      <c r="I27" s="8"/>
      <c r="J27" s="8"/>
      <c r="K27" s="8"/>
      <c r="L27" s="8"/>
      <c r="M27" s="114" t="s">
        <v>125</v>
      </c>
      <c r="N27" s="114"/>
      <c r="O27" s="78">
        <v>13.72</v>
      </c>
      <c r="P27" s="8"/>
      <c r="Q27" s="113" t="s">
        <v>126</v>
      </c>
      <c r="R27" s="113"/>
      <c r="S27" s="67">
        <v>1.44</v>
      </c>
      <c r="T27" s="10"/>
      <c r="U27" s="118" t="s">
        <v>127</v>
      </c>
      <c r="V27" s="118"/>
      <c r="W27" s="59" t="s">
        <v>49</v>
      </c>
      <c r="X27" s="10"/>
      <c r="Y27" s="115" t="s">
        <v>128</v>
      </c>
      <c r="Z27" s="116"/>
      <c r="AA27" s="93">
        <v>12.97</v>
      </c>
      <c r="AB27" s="59">
        <v>17.64</v>
      </c>
      <c r="AC27" s="59">
        <v>13.52</v>
      </c>
      <c r="AD27" s="59">
        <v>18.62</v>
      </c>
      <c r="AE27" s="10"/>
    </row>
    <row r="28" spans="1:31">
      <c r="A28" s="159" t="s">
        <v>197</v>
      </c>
      <c r="B28" s="160"/>
      <c r="C28" s="60">
        <v>53.23</v>
      </c>
      <c r="D28" s="8"/>
      <c r="E28" s="114" t="s">
        <v>129</v>
      </c>
      <c r="F28" s="114"/>
      <c r="G28" s="78">
        <v>40.07</v>
      </c>
      <c r="H28" s="8"/>
      <c r="I28" s="8"/>
      <c r="J28" s="8"/>
      <c r="K28" s="8"/>
      <c r="L28" s="8"/>
      <c r="M28" s="142" t="s">
        <v>130</v>
      </c>
      <c r="N28" s="142"/>
      <c r="O28" s="78">
        <v>21.29</v>
      </c>
      <c r="P28" s="8"/>
      <c r="Q28" s="113" t="s">
        <v>131</v>
      </c>
      <c r="R28" s="113"/>
      <c r="S28" s="67">
        <v>1.74</v>
      </c>
      <c r="T28" s="10"/>
      <c r="U28" s="157" t="s">
        <v>468</v>
      </c>
      <c r="V28" s="116"/>
      <c r="W28" s="104" t="s">
        <v>49</v>
      </c>
      <c r="X28" s="10"/>
      <c r="Y28" s="115" t="s">
        <v>132</v>
      </c>
      <c r="Z28" s="116"/>
      <c r="AA28" s="93">
        <v>17.260000000000002</v>
      </c>
      <c r="AB28" s="59">
        <v>23.49</v>
      </c>
      <c r="AC28" s="59">
        <v>18</v>
      </c>
      <c r="AD28" s="59">
        <v>24.8</v>
      </c>
      <c r="AE28" s="10"/>
    </row>
    <row r="29" spans="1:31">
      <c r="A29" s="159" t="s">
        <v>198</v>
      </c>
      <c r="B29" s="160"/>
      <c r="C29" s="60">
        <v>70.209999999999994</v>
      </c>
      <c r="D29" s="8"/>
      <c r="E29" s="114" t="s">
        <v>133</v>
      </c>
      <c r="F29" s="114"/>
      <c r="G29" s="78">
        <v>33.57</v>
      </c>
      <c r="H29" s="8"/>
      <c r="I29" s="8"/>
      <c r="J29" s="8"/>
      <c r="K29" s="8"/>
      <c r="L29" s="8"/>
      <c r="M29" s="142" t="s">
        <v>134</v>
      </c>
      <c r="N29" s="142"/>
      <c r="O29" s="78">
        <v>29.98</v>
      </c>
      <c r="P29" s="8"/>
      <c r="Q29" s="113" t="s">
        <v>135</v>
      </c>
      <c r="R29" s="113"/>
      <c r="S29" s="67">
        <v>2.57</v>
      </c>
      <c r="T29" s="10"/>
      <c r="U29" s="161" t="s">
        <v>136</v>
      </c>
      <c r="V29" s="161"/>
      <c r="W29" s="104" t="s">
        <v>49</v>
      </c>
      <c r="X29" s="10"/>
      <c r="Y29" s="119" t="s">
        <v>137</v>
      </c>
      <c r="Z29" s="120"/>
      <c r="AA29" s="68">
        <v>20.83</v>
      </c>
      <c r="AB29" s="70">
        <v>29.43</v>
      </c>
      <c r="AC29" s="70">
        <v>23.1</v>
      </c>
      <c r="AD29" s="70">
        <v>32.49</v>
      </c>
      <c r="AE29" s="10"/>
    </row>
    <row r="30" spans="1:31">
      <c r="A30" s="113" t="s">
        <v>199</v>
      </c>
      <c r="B30" s="113"/>
      <c r="C30" s="78">
        <v>42.07</v>
      </c>
      <c r="D30" s="8"/>
      <c r="E30" s="114" t="s">
        <v>138</v>
      </c>
      <c r="F30" s="114"/>
      <c r="G30" s="78">
        <v>61.37</v>
      </c>
      <c r="H30" s="8"/>
      <c r="I30" s="8"/>
      <c r="J30" s="8"/>
      <c r="K30" s="8"/>
      <c r="L30" s="8"/>
      <c r="M30" s="122" t="s">
        <v>139</v>
      </c>
      <c r="N30" s="138"/>
      <c r="O30" s="78">
        <v>40.58</v>
      </c>
      <c r="P30" s="8"/>
      <c r="Q30" s="144" t="s">
        <v>140</v>
      </c>
      <c r="R30" s="144"/>
      <c r="S30" s="87" t="s">
        <v>65</v>
      </c>
      <c r="T30" s="10"/>
      <c r="U30" s="118" t="s">
        <v>141</v>
      </c>
      <c r="V30" s="118"/>
      <c r="W30" s="59" t="s">
        <v>49</v>
      </c>
      <c r="X30" s="10"/>
      <c r="Y30" s="115" t="s">
        <v>102</v>
      </c>
      <c r="Z30" s="116"/>
      <c r="AA30" s="85">
        <v>28.13</v>
      </c>
      <c r="AB30" s="59">
        <v>36.14</v>
      </c>
      <c r="AC30" s="59" t="s">
        <v>96</v>
      </c>
      <c r="AD30" s="59">
        <v>38.92</v>
      </c>
      <c r="AE30" s="10"/>
    </row>
    <row r="31" spans="1:31">
      <c r="A31" s="8"/>
      <c r="B31" s="8"/>
      <c r="C31" s="8"/>
      <c r="D31" s="8"/>
      <c r="E31" s="113" t="s">
        <v>142</v>
      </c>
      <c r="F31" s="113"/>
      <c r="G31" s="60">
        <v>55.02</v>
      </c>
      <c r="H31" s="8"/>
      <c r="I31" s="8"/>
      <c r="J31" s="8"/>
      <c r="K31" s="8"/>
      <c r="L31" s="8"/>
      <c r="M31" s="142" t="s">
        <v>143</v>
      </c>
      <c r="N31" s="142"/>
      <c r="O31" s="78">
        <v>48.7</v>
      </c>
      <c r="P31" s="8"/>
      <c r="Q31" s="113" t="s">
        <v>144</v>
      </c>
      <c r="R31" s="113"/>
      <c r="S31" s="67">
        <v>0.63</v>
      </c>
      <c r="T31" s="10"/>
      <c r="U31" s="117" t="s">
        <v>145</v>
      </c>
      <c r="V31" s="118"/>
      <c r="W31" s="59" t="s">
        <v>49</v>
      </c>
      <c r="X31" s="10"/>
      <c r="Y31" s="119"/>
      <c r="Z31" s="120"/>
      <c r="AA31" s="63"/>
      <c r="AB31" s="63"/>
      <c r="AC31" s="63"/>
      <c r="AD31" s="63"/>
      <c r="AE31" s="10"/>
    </row>
    <row r="32" spans="1:3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122" t="s">
        <v>146</v>
      </c>
      <c r="N32" s="138"/>
      <c r="O32" s="78">
        <v>14.87</v>
      </c>
      <c r="P32" s="8"/>
      <c r="Q32" s="113" t="s">
        <v>147</v>
      </c>
      <c r="R32" s="113"/>
      <c r="S32" s="67">
        <v>1.26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142" t="s">
        <v>148</v>
      </c>
      <c r="N33" s="142"/>
      <c r="O33" s="78">
        <v>17.97</v>
      </c>
      <c r="P33" s="8"/>
      <c r="Q33" s="113" t="s">
        <v>149</v>
      </c>
      <c r="R33" s="113"/>
      <c r="S33" s="67">
        <v>1.93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>
      <c r="A34" s="105"/>
      <c r="B34" s="105"/>
      <c r="C34" s="100"/>
      <c r="D34" s="8"/>
      <c r="E34" s="8"/>
      <c r="F34" s="8"/>
      <c r="G34" s="8"/>
      <c r="H34" s="8"/>
      <c r="I34" s="8"/>
      <c r="J34" s="8"/>
      <c r="K34" s="8"/>
      <c r="L34" s="8"/>
      <c r="M34" s="142" t="s">
        <v>150</v>
      </c>
      <c r="N34" s="142"/>
      <c r="O34" s="78">
        <v>26.81</v>
      </c>
      <c r="P34" s="8"/>
      <c r="Q34" s="8"/>
      <c r="R34" s="8"/>
      <c r="S34" s="8"/>
      <c r="T34" s="10"/>
      <c r="U34" s="10"/>
      <c r="V34" s="10"/>
      <c r="W34" s="10"/>
      <c r="X34" s="10"/>
      <c r="Y34" s="121"/>
      <c r="Z34" s="121"/>
      <c r="AA34" s="10"/>
      <c r="AB34" s="10"/>
      <c r="AC34" s="10"/>
      <c r="AD34" s="10"/>
      <c r="AE34" s="10"/>
    </row>
    <row r="35" spans="1:31">
      <c r="A35" s="100"/>
      <c r="B35" s="100"/>
      <c r="C35" s="100"/>
      <c r="D35" s="8"/>
      <c r="E35" s="8"/>
      <c r="F35" s="8"/>
      <c r="G35" s="8"/>
      <c r="H35" s="8"/>
      <c r="I35" s="8"/>
      <c r="J35" s="8"/>
      <c r="K35" s="8"/>
      <c r="L35" s="8"/>
      <c r="M35" s="142" t="s">
        <v>151</v>
      </c>
      <c r="N35" s="142"/>
      <c r="O35" s="78">
        <v>38.200000000000003</v>
      </c>
      <c r="P35" s="8"/>
      <c r="Q35" s="8"/>
      <c r="R35" s="8"/>
      <c r="S35" s="8"/>
      <c r="T35" s="10"/>
      <c r="U35" s="10"/>
      <c r="V35" s="10" t="s">
        <v>469</v>
      </c>
      <c r="W35" s="10"/>
      <c r="X35" s="10"/>
      <c r="Y35" s="121"/>
      <c r="Z35" s="121"/>
      <c r="AA35" s="10"/>
      <c r="AB35" s="10"/>
      <c r="AC35" s="10"/>
      <c r="AD35" s="10"/>
      <c r="AE35" s="10"/>
    </row>
    <row r="36" spans="1:3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122" t="s">
        <v>152</v>
      </c>
      <c r="N36" s="138"/>
      <c r="O36" s="78">
        <v>50.68</v>
      </c>
      <c r="P36" s="8"/>
      <c r="Q36" s="8"/>
      <c r="R36" s="8"/>
      <c r="S36" s="8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142" t="s">
        <v>153</v>
      </c>
      <c r="N37" s="142"/>
      <c r="O37" s="78">
        <v>63.13</v>
      </c>
      <c r="P37" s="8"/>
      <c r="Q37" s="8"/>
      <c r="R37" s="8"/>
      <c r="S37" s="8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94"/>
      <c r="N38" s="94"/>
      <c r="O38" s="106"/>
      <c r="P38" s="8"/>
      <c r="Q38" s="8"/>
      <c r="R38" s="8"/>
      <c r="S38" s="8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>
      <c r="A39" s="151" t="s">
        <v>200</v>
      </c>
      <c r="B39" s="151"/>
      <c r="C39" s="73" t="s">
        <v>65</v>
      </c>
      <c r="D39" s="8"/>
      <c r="E39" s="151" t="s">
        <v>154</v>
      </c>
      <c r="F39" s="151"/>
      <c r="G39" s="73" t="s">
        <v>36</v>
      </c>
      <c r="H39" s="8"/>
      <c r="I39" s="151" t="s">
        <v>155</v>
      </c>
      <c r="J39" s="151"/>
      <c r="K39" s="73" t="s">
        <v>65</v>
      </c>
      <c r="L39" s="8"/>
      <c r="M39" s="144" t="s">
        <v>156</v>
      </c>
      <c r="N39" s="144"/>
      <c r="O39" s="72" t="s">
        <v>36</v>
      </c>
      <c r="P39" s="8"/>
      <c r="Q39" s="8"/>
      <c r="R39" s="8"/>
      <c r="S39" s="8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>
      <c r="A40" s="114" t="s">
        <v>201</v>
      </c>
      <c r="B40" s="114"/>
      <c r="C40" s="84">
        <v>2.4700000000000002</v>
      </c>
      <c r="D40" s="8"/>
      <c r="E40" s="114" t="s">
        <v>157</v>
      </c>
      <c r="F40" s="114"/>
      <c r="G40" s="84">
        <v>7.19</v>
      </c>
      <c r="H40" s="8"/>
      <c r="I40" s="127" t="s">
        <v>158</v>
      </c>
      <c r="J40" s="128"/>
      <c r="K40" s="67">
        <v>1.9</v>
      </c>
      <c r="L40" s="8"/>
      <c r="M40" s="113" t="s">
        <v>470</v>
      </c>
      <c r="N40" s="113"/>
      <c r="O40" s="60">
        <v>9.4600000000000009</v>
      </c>
      <c r="P40" s="8"/>
      <c r="Q40" s="8"/>
      <c r="R40" s="8"/>
      <c r="S40" s="8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>
      <c r="A41" s="114" t="s">
        <v>202</v>
      </c>
      <c r="B41" s="114"/>
      <c r="C41" s="84">
        <v>0.67</v>
      </c>
      <c r="D41" s="8"/>
      <c r="E41" s="114" t="s">
        <v>159</v>
      </c>
      <c r="F41" s="114"/>
      <c r="G41" s="84">
        <v>8.31</v>
      </c>
      <c r="H41" s="8"/>
      <c r="I41" s="113" t="s">
        <v>160</v>
      </c>
      <c r="J41" s="113"/>
      <c r="K41" s="67">
        <v>2.0099999999999998</v>
      </c>
      <c r="L41" s="8"/>
      <c r="M41" s="113" t="s">
        <v>471</v>
      </c>
      <c r="N41" s="113"/>
      <c r="O41" s="60">
        <v>16.329999999999998</v>
      </c>
      <c r="P41" s="8"/>
      <c r="Q41" s="8"/>
      <c r="R41" s="8"/>
      <c r="S41" s="8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>
      <c r="A42" s="124" t="s">
        <v>203</v>
      </c>
      <c r="B42" s="124"/>
      <c r="C42" s="55">
        <v>0.92</v>
      </c>
      <c r="D42" s="8"/>
      <c r="E42" s="114" t="s">
        <v>161</v>
      </c>
      <c r="F42" s="114"/>
      <c r="G42" s="84">
        <v>9.99</v>
      </c>
      <c r="H42" s="8"/>
      <c r="I42" s="113" t="s">
        <v>162</v>
      </c>
      <c r="J42" s="113"/>
      <c r="K42" s="67">
        <v>3.23</v>
      </c>
      <c r="L42" s="8"/>
      <c r="M42" s="114" t="s">
        <v>163</v>
      </c>
      <c r="N42" s="114"/>
      <c r="O42" s="78">
        <v>21.55</v>
      </c>
      <c r="P42" s="8"/>
      <c r="Q42" s="8"/>
      <c r="R42" s="8"/>
      <c r="S42" s="8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>
      <c r="A43" s="162" t="s">
        <v>204</v>
      </c>
      <c r="B43" s="162"/>
      <c r="C43" s="65" t="s">
        <v>49</v>
      </c>
      <c r="D43" s="8"/>
      <c r="E43" s="122" t="s">
        <v>164</v>
      </c>
      <c r="F43" s="123"/>
      <c r="G43" s="84">
        <v>17.43</v>
      </c>
      <c r="H43" s="8"/>
      <c r="I43" s="127" t="s">
        <v>165</v>
      </c>
      <c r="J43" s="128"/>
      <c r="K43" s="67">
        <v>4.7</v>
      </c>
      <c r="L43" s="8"/>
      <c r="M43" s="114" t="s">
        <v>166</v>
      </c>
      <c r="N43" s="114"/>
      <c r="O43" s="78">
        <v>23.84</v>
      </c>
      <c r="P43" s="8"/>
      <c r="Q43" s="8"/>
      <c r="R43" s="8"/>
      <c r="S43" s="8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>
      <c r="A44" s="162" t="s">
        <v>205</v>
      </c>
      <c r="B44" s="162"/>
      <c r="C44" s="65">
        <v>2.67</v>
      </c>
      <c r="D44" s="8"/>
      <c r="E44" s="114" t="s">
        <v>167</v>
      </c>
      <c r="F44" s="114"/>
      <c r="G44" s="84">
        <v>15.67</v>
      </c>
      <c r="H44" s="8"/>
      <c r="I44" s="113" t="s">
        <v>168</v>
      </c>
      <c r="J44" s="113"/>
      <c r="K44" s="67">
        <v>7.37</v>
      </c>
      <c r="L44" s="8"/>
      <c r="M44" s="113"/>
      <c r="N44" s="113"/>
      <c r="O44" s="79"/>
      <c r="P44" s="8"/>
      <c r="Q44" s="8"/>
      <c r="R44" s="8"/>
      <c r="S44" s="8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>
      <c r="A45" s="162" t="s">
        <v>206</v>
      </c>
      <c r="B45" s="162"/>
      <c r="C45" s="67">
        <v>5.36</v>
      </c>
      <c r="D45" s="8"/>
      <c r="E45" s="114" t="s">
        <v>169</v>
      </c>
      <c r="F45" s="114"/>
      <c r="G45" s="84">
        <v>20.52</v>
      </c>
      <c r="H45" s="8"/>
      <c r="I45" s="113" t="s">
        <v>170</v>
      </c>
      <c r="J45" s="113"/>
      <c r="K45" s="67">
        <v>11.06</v>
      </c>
      <c r="L45" s="8"/>
      <c r="M45" s="163" t="s">
        <v>171</v>
      </c>
      <c r="N45" s="163"/>
      <c r="O45" s="72" t="s">
        <v>36</v>
      </c>
      <c r="P45" s="8"/>
      <c r="Q45" s="8"/>
      <c r="R45" s="8"/>
      <c r="S45" s="8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>
      <c r="A46" s="113" t="s">
        <v>207</v>
      </c>
      <c r="B46" s="113"/>
      <c r="C46" s="65">
        <v>6.18</v>
      </c>
      <c r="D46" s="8"/>
      <c r="E46" s="122" t="s">
        <v>472</v>
      </c>
      <c r="F46" s="123"/>
      <c r="G46" s="84">
        <v>33.08</v>
      </c>
      <c r="H46" s="8"/>
      <c r="I46" s="113" t="s">
        <v>172</v>
      </c>
      <c r="J46" s="113"/>
      <c r="K46" s="67">
        <v>13.07</v>
      </c>
      <c r="L46" s="8"/>
      <c r="M46" s="147" t="s">
        <v>173</v>
      </c>
      <c r="N46" s="147"/>
      <c r="O46" s="107">
        <v>1.85</v>
      </c>
      <c r="P46" s="8"/>
      <c r="Q46" s="8"/>
      <c r="R46" s="8"/>
      <c r="S46" s="8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>
      <c r="A47" s="113"/>
      <c r="B47" s="113"/>
      <c r="C47" s="65"/>
      <c r="D47" s="8"/>
      <c r="E47" s="114" t="s">
        <v>174</v>
      </c>
      <c r="F47" s="114"/>
      <c r="G47" s="84">
        <v>37.61</v>
      </c>
      <c r="H47" s="8"/>
      <c r="I47" s="149"/>
      <c r="J47" s="149"/>
      <c r="K47" s="8" t="s">
        <v>368</v>
      </c>
      <c r="L47" s="8"/>
      <c r="M47" s="147" t="s">
        <v>175</v>
      </c>
      <c r="N47" s="147"/>
      <c r="O47" s="107">
        <v>3.01</v>
      </c>
      <c r="P47" s="8"/>
      <c r="Q47" s="8"/>
      <c r="R47" s="8"/>
      <c r="S47" s="8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>
      <c r="A48" s="100"/>
      <c r="B48" s="100"/>
      <c r="C48" s="100"/>
      <c r="D48" s="8"/>
      <c r="E48" s="88" t="s">
        <v>176</v>
      </c>
      <c r="F48" s="84"/>
      <c r="G48" s="84">
        <v>45.6</v>
      </c>
      <c r="H48" s="8"/>
      <c r="I48" s="8"/>
      <c r="J48" s="8"/>
      <c r="K48" s="8"/>
      <c r="L48" s="8"/>
      <c r="M48" s="113"/>
      <c r="N48" s="113"/>
      <c r="O48" s="79"/>
      <c r="P48" s="8"/>
      <c r="Q48" s="8"/>
      <c r="R48" s="8"/>
      <c r="S48" s="8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>
      <c r="A50" s="144" t="s">
        <v>208</v>
      </c>
      <c r="B50" s="144"/>
      <c r="C50" s="72" t="s">
        <v>36</v>
      </c>
      <c r="D50" s="8"/>
      <c r="E50" s="151" t="s">
        <v>177</v>
      </c>
      <c r="F50" s="151"/>
      <c r="G50" s="73" t="s">
        <v>65</v>
      </c>
      <c r="H50" s="8"/>
      <c r="I50" s="151" t="s">
        <v>178</v>
      </c>
      <c r="J50" s="151"/>
      <c r="K50" s="87" t="s">
        <v>65</v>
      </c>
      <c r="L50" s="8"/>
      <c r="M50" s="8"/>
      <c r="N50" s="8"/>
      <c r="O50" s="8"/>
      <c r="P50" s="8"/>
      <c r="Q50" s="8"/>
      <c r="R50" s="8"/>
      <c r="S50" s="8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>
      <c r="A51" s="113" t="s">
        <v>209</v>
      </c>
      <c r="B51" s="113"/>
      <c r="C51" s="67">
        <v>2.5099999999999998</v>
      </c>
      <c r="D51" s="8"/>
      <c r="E51" s="142" t="s">
        <v>179</v>
      </c>
      <c r="F51" s="142"/>
      <c r="G51" s="84">
        <v>5.6</v>
      </c>
      <c r="H51" s="8"/>
      <c r="I51" s="113" t="s">
        <v>473</v>
      </c>
      <c r="J51" s="113"/>
      <c r="K51" s="67">
        <v>1.27</v>
      </c>
      <c r="L51" s="8"/>
      <c r="M51" s="8"/>
      <c r="N51" s="8"/>
      <c r="O51" s="8"/>
      <c r="P51" s="8"/>
      <c r="Q51" s="8"/>
      <c r="R51" s="8"/>
      <c r="S51" s="8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1">
      <c r="A52" s="113" t="s">
        <v>210</v>
      </c>
      <c r="B52" s="113"/>
      <c r="C52" s="67">
        <v>3.27</v>
      </c>
      <c r="D52" s="8"/>
      <c r="E52" s="114" t="s">
        <v>474</v>
      </c>
      <c r="F52" s="114"/>
      <c r="G52" s="84">
        <v>8.01</v>
      </c>
      <c r="H52" s="8"/>
      <c r="I52" s="113" t="s">
        <v>180</v>
      </c>
      <c r="J52" s="113"/>
      <c r="K52" s="67">
        <v>1.99</v>
      </c>
      <c r="L52" s="8"/>
      <c r="M52" s="8"/>
      <c r="N52" s="8"/>
      <c r="O52" s="8"/>
      <c r="P52" s="8"/>
      <c r="Q52" s="8"/>
      <c r="R52" s="8"/>
      <c r="S52" s="8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>
      <c r="A53" s="113"/>
      <c r="B53" s="113"/>
      <c r="C53" s="82"/>
      <c r="D53" s="8"/>
      <c r="E53" s="114"/>
      <c r="F53" s="114"/>
      <c r="G53" s="73"/>
      <c r="H53" s="8"/>
      <c r="I53" s="113" t="s">
        <v>181</v>
      </c>
      <c r="J53" s="113"/>
      <c r="K53" s="67">
        <v>3.28</v>
      </c>
      <c r="L53" s="8"/>
      <c r="M53" s="8"/>
      <c r="N53" s="8"/>
      <c r="O53" s="8"/>
      <c r="P53" s="8"/>
      <c r="Q53" s="8"/>
      <c r="R53" s="8"/>
      <c r="S53" s="8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spans="1:31">
      <c r="A54" s="113"/>
      <c r="B54" s="113"/>
      <c r="C54" s="82"/>
      <c r="D54" s="8"/>
      <c r="E54" s="113"/>
      <c r="F54" s="113"/>
      <c r="G54" s="73"/>
      <c r="H54" s="8"/>
      <c r="I54" s="113" t="s">
        <v>182</v>
      </c>
      <c r="J54" s="113"/>
      <c r="K54" s="67">
        <v>7.14</v>
      </c>
      <c r="L54" s="8"/>
      <c r="M54" s="8"/>
      <c r="N54" s="8"/>
      <c r="O54" s="89">
        <v>45908</v>
      </c>
      <c r="P54" s="8"/>
      <c r="Q54" s="8"/>
      <c r="R54" s="8"/>
      <c r="S54" s="8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>
      <c r="A55" s="113"/>
      <c r="B55" s="113"/>
      <c r="C55" s="82"/>
      <c r="D55" s="8"/>
      <c r="E55" s="114"/>
      <c r="F55" s="114"/>
      <c r="G55" s="73"/>
      <c r="H55" s="8"/>
      <c r="I55" s="113" t="s">
        <v>183</v>
      </c>
      <c r="J55" s="113"/>
      <c r="K55" s="67">
        <v>9.7899999999999991</v>
      </c>
      <c r="L55" s="8"/>
      <c r="M55" s="8"/>
      <c r="N55" s="8"/>
      <c r="O55" s="8"/>
      <c r="P55" s="8"/>
      <c r="Q55" s="8"/>
      <c r="R55" s="8"/>
      <c r="S55" s="8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1:31">
      <c r="A56" s="113"/>
      <c r="B56" s="113"/>
      <c r="C56" s="82"/>
      <c r="D56" s="8"/>
      <c r="E56" s="114"/>
      <c r="F56" s="114"/>
      <c r="G56" s="73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</sheetData>
  <mergeCells count="202">
    <mergeCell ref="A47:B47"/>
    <mergeCell ref="E47:F47"/>
    <mergeCell ref="I47:J47"/>
    <mergeCell ref="M47:N47"/>
    <mergeCell ref="M48:N48"/>
    <mergeCell ref="A54:B54"/>
    <mergeCell ref="E54:F54"/>
    <mergeCell ref="A52:B52"/>
    <mergeCell ref="E52:F52"/>
    <mergeCell ref="I52:J52"/>
    <mergeCell ref="A53:B53"/>
    <mergeCell ref="E53:F53"/>
    <mergeCell ref="I53:J53"/>
    <mergeCell ref="A50:B50"/>
    <mergeCell ref="E50:F50"/>
    <mergeCell ref="I50:J50"/>
    <mergeCell ref="A51:B51"/>
    <mergeCell ref="E51:F51"/>
    <mergeCell ref="I51:J51"/>
    <mergeCell ref="I54:J54"/>
    <mergeCell ref="M46:N46"/>
    <mergeCell ref="A44:B44"/>
    <mergeCell ref="E44:F44"/>
    <mergeCell ref="I44:J44"/>
    <mergeCell ref="M44:N44"/>
    <mergeCell ref="A45:B45"/>
    <mergeCell ref="E45:F45"/>
    <mergeCell ref="I45:J45"/>
    <mergeCell ref="M45:N45"/>
    <mergeCell ref="A42:B42"/>
    <mergeCell ref="E42:F42"/>
    <mergeCell ref="I42:J42"/>
    <mergeCell ref="M42:N42"/>
    <mergeCell ref="A43:B43"/>
    <mergeCell ref="E43:F43"/>
    <mergeCell ref="I43:J43"/>
    <mergeCell ref="M43:N43"/>
    <mergeCell ref="A40:B40"/>
    <mergeCell ref="E40:F40"/>
    <mergeCell ref="I40:J40"/>
    <mergeCell ref="M40:N40"/>
    <mergeCell ref="A41:B41"/>
    <mergeCell ref="E41:F41"/>
    <mergeCell ref="I41:J41"/>
    <mergeCell ref="M41:N41"/>
    <mergeCell ref="M31:N31"/>
    <mergeCell ref="Q31:R31"/>
    <mergeCell ref="A39:B39"/>
    <mergeCell ref="E39:F39"/>
    <mergeCell ref="I39:J39"/>
    <mergeCell ref="M39:N39"/>
    <mergeCell ref="M35:N35"/>
    <mergeCell ref="M36:N36"/>
    <mergeCell ref="M37:N37"/>
    <mergeCell ref="A29:B29"/>
    <mergeCell ref="E29:F29"/>
    <mergeCell ref="M29:N29"/>
    <mergeCell ref="Q29:R29"/>
    <mergeCell ref="U29:V29"/>
    <mergeCell ref="Y29:Z29"/>
    <mergeCell ref="A28:B28"/>
    <mergeCell ref="E28:F28"/>
    <mergeCell ref="M28:N28"/>
    <mergeCell ref="Q28:R28"/>
    <mergeCell ref="U28:V28"/>
    <mergeCell ref="Y28:Z28"/>
    <mergeCell ref="A27:B27"/>
    <mergeCell ref="E27:F27"/>
    <mergeCell ref="M27:N27"/>
    <mergeCell ref="Q27:R27"/>
    <mergeCell ref="U27:V27"/>
    <mergeCell ref="Y27:Z27"/>
    <mergeCell ref="Y25:Z25"/>
    <mergeCell ref="A26:B26"/>
    <mergeCell ref="E26:F26"/>
    <mergeCell ref="M26:N26"/>
    <mergeCell ref="Q26:R26"/>
    <mergeCell ref="U26:V26"/>
    <mergeCell ref="Y26:Z26"/>
    <mergeCell ref="A25:B25"/>
    <mergeCell ref="E25:F25"/>
    <mergeCell ref="I25:J25"/>
    <mergeCell ref="M25:N25"/>
    <mergeCell ref="Q25:R25"/>
    <mergeCell ref="U25:V25"/>
    <mergeCell ref="I26:J26"/>
    <mergeCell ref="A24:B24"/>
    <mergeCell ref="E24:F24"/>
    <mergeCell ref="I24:J24"/>
    <mergeCell ref="M24:N24"/>
    <mergeCell ref="Q24:R24"/>
    <mergeCell ref="U24:V24"/>
    <mergeCell ref="Y24:Z24"/>
    <mergeCell ref="U22:V22"/>
    <mergeCell ref="U23:V23"/>
    <mergeCell ref="A22:B22"/>
    <mergeCell ref="I22:J22"/>
    <mergeCell ref="M22:N22"/>
    <mergeCell ref="Q22:R22"/>
    <mergeCell ref="Y22:Z22"/>
    <mergeCell ref="Y20:Z20"/>
    <mergeCell ref="A21:B21"/>
    <mergeCell ref="I21:J21"/>
    <mergeCell ref="M21:N21"/>
    <mergeCell ref="Q21:R21"/>
    <mergeCell ref="U21:V21"/>
    <mergeCell ref="Y21:Z21"/>
    <mergeCell ref="A20:B20"/>
    <mergeCell ref="M20:N20"/>
    <mergeCell ref="U20:V20"/>
    <mergeCell ref="E21:G21"/>
    <mergeCell ref="Y18:Z18"/>
    <mergeCell ref="A19:B19"/>
    <mergeCell ref="E19:F19"/>
    <mergeCell ref="M19:N19"/>
    <mergeCell ref="U19:V19"/>
    <mergeCell ref="Y19:Z19"/>
    <mergeCell ref="A18:B18"/>
    <mergeCell ref="E18:F18"/>
    <mergeCell ref="I18:J18"/>
    <mergeCell ref="M18:N18"/>
    <mergeCell ref="Q18:R18"/>
    <mergeCell ref="U18:V18"/>
    <mergeCell ref="Y16:Z16"/>
    <mergeCell ref="A17:B17"/>
    <mergeCell ref="E17:F17"/>
    <mergeCell ref="I17:J17"/>
    <mergeCell ref="M17:N17"/>
    <mergeCell ref="Q17:R17"/>
    <mergeCell ref="U17:V17"/>
    <mergeCell ref="Y17:Z17"/>
    <mergeCell ref="A16:B16"/>
    <mergeCell ref="E16:F16"/>
    <mergeCell ref="I16:J16"/>
    <mergeCell ref="M16:N16"/>
    <mergeCell ref="Q16:R16"/>
    <mergeCell ref="U16:V16"/>
    <mergeCell ref="A15:B15"/>
    <mergeCell ref="E15:F15"/>
    <mergeCell ref="I15:J15"/>
    <mergeCell ref="M15:N15"/>
    <mergeCell ref="Q15:R15"/>
    <mergeCell ref="U15:V15"/>
    <mergeCell ref="Y15:Z15"/>
    <mergeCell ref="A14:B14"/>
    <mergeCell ref="E14:F14"/>
    <mergeCell ref="I14:J14"/>
    <mergeCell ref="M14:N14"/>
    <mergeCell ref="Q14:R14"/>
    <mergeCell ref="U14:V14"/>
    <mergeCell ref="Y10:Z10"/>
    <mergeCell ref="Y11:Z11"/>
    <mergeCell ref="U1:V1"/>
    <mergeCell ref="U2:V2"/>
    <mergeCell ref="U3:V3"/>
    <mergeCell ref="U4:V4"/>
    <mergeCell ref="U5:V5"/>
    <mergeCell ref="U6:V6"/>
    <mergeCell ref="Y14:Z14"/>
    <mergeCell ref="Y1:Z1"/>
    <mergeCell ref="Y2:Z2"/>
    <mergeCell ref="Y3:Z3"/>
    <mergeCell ref="Y4:Z4"/>
    <mergeCell ref="Y5:Z5"/>
    <mergeCell ref="Y6:Z6"/>
    <mergeCell ref="Y7:Z7"/>
    <mergeCell ref="Y8:Z8"/>
    <mergeCell ref="Y9:Z9"/>
    <mergeCell ref="U7:V7"/>
    <mergeCell ref="U8:V8"/>
    <mergeCell ref="U9:V9"/>
    <mergeCell ref="U10:V10"/>
    <mergeCell ref="U11:V11"/>
    <mergeCell ref="U12:V12"/>
    <mergeCell ref="I19:J19"/>
    <mergeCell ref="Q19:R19"/>
    <mergeCell ref="E20:F20"/>
    <mergeCell ref="Q20:S20"/>
    <mergeCell ref="A55:B55"/>
    <mergeCell ref="E55:F55"/>
    <mergeCell ref="I55:J55"/>
    <mergeCell ref="A56:B56"/>
    <mergeCell ref="E56:F56"/>
    <mergeCell ref="A30:B30"/>
    <mergeCell ref="Y30:Z30"/>
    <mergeCell ref="E31:F31"/>
    <mergeCell ref="U31:V31"/>
    <mergeCell ref="Y31:Z31"/>
    <mergeCell ref="Q33:R33"/>
    <mergeCell ref="Y35:Z35"/>
    <mergeCell ref="A46:B46"/>
    <mergeCell ref="E46:F46"/>
    <mergeCell ref="I46:J46"/>
    <mergeCell ref="M32:N32"/>
    <mergeCell ref="Q32:R32"/>
    <mergeCell ref="M33:N33"/>
    <mergeCell ref="M34:N34"/>
    <mergeCell ref="Y34:Z34"/>
    <mergeCell ref="E30:F30"/>
    <mergeCell ref="M30:N30"/>
    <mergeCell ref="Q30:R30"/>
    <mergeCell ref="U30:V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A4DA-E224-4B0D-A7C8-2B5A2EBAA852}">
  <dimension ref="A1:D170"/>
  <sheetViews>
    <sheetView zoomScaleNormal="100" workbookViewId="0">
      <selection activeCell="A3" sqref="A3"/>
    </sheetView>
  </sheetViews>
  <sheetFormatPr defaultColWidth="8.77734375" defaultRowHeight="14.4"/>
  <cols>
    <col min="1" max="1" width="87.6640625" style="24" customWidth="1"/>
    <col min="2" max="2" width="18.6640625" style="37" customWidth="1"/>
    <col min="3" max="3" width="16.77734375" style="21" customWidth="1"/>
    <col min="4" max="4" width="18.109375" customWidth="1"/>
  </cols>
  <sheetData>
    <row r="1" spans="1:4" ht="36" customHeight="1" thickBot="1">
      <c r="A1" s="22" t="s">
        <v>323</v>
      </c>
      <c r="B1" s="36"/>
      <c r="C1" s="22"/>
    </row>
    <row r="2" spans="1:4" ht="15" thickTop="1">
      <c r="A2" s="25" t="s">
        <v>1</v>
      </c>
      <c r="B2" s="25" t="s">
        <v>3</v>
      </c>
      <c r="C2" s="23"/>
      <c r="D2" s="5"/>
    </row>
    <row r="3" spans="1:4">
      <c r="A3" s="38"/>
      <c r="B3" s="24"/>
      <c r="C3"/>
    </row>
    <row r="4" spans="1:4">
      <c r="B4" s="39"/>
      <c r="C4" s="38"/>
    </row>
    <row r="5" spans="1:4">
      <c r="B5" s="39"/>
      <c r="C5" s="38"/>
    </row>
    <row r="6" spans="1:4">
      <c r="B6" s="39"/>
      <c r="C6" s="38"/>
    </row>
    <row r="7" spans="1:4">
      <c r="C7" s="38"/>
    </row>
    <row r="8" spans="1:4">
      <c r="C8" s="24"/>
    </row>
    <row r="9" spans="1:4">
      <c r="C9" s="24"/>
    </row>
    <row r="10" spans="1:4">
      <c r="C10" s="38"/>
    </row>
    <row r="11" spans="1:4">
      <c r="C11" s="38"/>
    </row>
    <row r="12" spans="1:4">
      <c r="C12" s="38"/>
    </row>
    <row r="13" spans="1:4">
      <c r="C13" s="38"/>
    </row>
    <row r="14" spans="1:4">
      <c r="C14" s="38"/>
    </row>
    <row r="15" spans="1:4">
      <c r="C15" s="38"/>
    </row>
    <row r="16" spans="1:4">
      <c r="C16" s="38"/>
    </row>
    <row r="17" spans="3:3">
      <c r="C17" s="38"/>
    </row>
    <row r="18" spans="3:3">
      <c r="C18" s="38"/>
    </row>
    <row r="19" spans="3:3">
      <c r="C19" s="38"/>
    </row>
    <row r="20" spans="3:3">
      <c r="C20" s="38"/>
    </row>
    <row r="21" spans="3:3">
      <c r="C21" s="38"/>
    </row>
    <row r="22" spans="3:3">
      <c r="C22" s="38"/>
    </row>
    <row r="23" spans="3:3">
      <c r="C23" s="38"/>
    </row>
    <row r="24" spans="3:3">
      <c r="C24" s="38"/>
    </row>
    <row r="25" spans="3:3">
      <c r="C25" s="38"/>
    </row>
    <row r="26" spans="3:3">
      <c r="C26" s="38"/>
    </row>
    <row r="27" spans="3:3">
      <c r="C27" s="38"/>
    </row>
    <row r="28" spans="3:3">
      <c r="C28" s="38"/>
    </row>
    <row r="29" spans="3:3">
      <c r="C29" s="38"/>
    </row>
    <row r="30" spans="3:3">
      <c r="C30" s="35"/>
    </row>
    <row r="31" spans="3:3">
      <c r="C31" s="35"/>
    </row>
    <row r="32" spans="3:3">
      <c r="C32" s="35"/>
    </row>
    <row r="33" spans="3:3">
      <c r="C33" s="35"/>
    </row>
    <row r="34" spans="3:3">
      <c r="C34" s="35"/>
    </row>
    <row r="35" spans="3:3">
      <c r="C35" s="35"/>
    </row>
    <row r="36" spans="3:3">
      <c r="C36" s="35"/>
    </row>
    <row r="37" spans="3:3">
      <c r="C37" s="35"/>
    </row>
    <row r="38" spans="3:3">
      <c r="C38" s="35"/>
    </row>
    <row r="39" spans="3:3">
      <c r="C39" s="35"/>
    </row>
    <row r="40" spans="3:3">
      <c r="C40" s="35"/>
    </row>
    <row r="41" spans="3:3">
      <c r="C41" s="35"/>
    </row>
    <row r="42" spans="3:3">
      <c r="C42" s="35"/>
    </row>
    <row r="43" spans="3:3">
      <c r="C43" s="35"/>
    </row>
    <row r="44" spans="3:3">
      <c r="C44" s="35"/>
    </row>
    <row r="45" spans="3:3">
      <c r="C45" s="35"/>
    </row>
    <row r="46" spans="3:3">
      <c r="C46" s="35"/>
    </row>
    <row r="47" spans="3:3">
      <c r="C47" s="35"/>
    </row>
    <row r="48" spans="3:3">
      <c r="C48" s="35"/>
    </row>
    <row r="49" spans="3:3">
      <c r="C49" s="35"/>
    </row>
    <row r="50" spans="3:3">
      <c r="C50" s="35"/>
    </row>
    <row r="51" spans="3:3">
      <c r="C51" s="35"/>
    </row>
    <row r="52" spans="3:3">
      <c r="C52" s="35"/>
    </row>
    <row r="53" spans="3:3">
      <c r="C53" s="35"/>
    </row>
    <row r="54" spans="3:3">
      <c r="C54" s="35"/>
    </row>
    <row r="55" spans="3:3">
      <c r="C55" s="35"/>
    </row>
    <row r="56" spans="3:3">
      <c r="C56" s="35"/>
    </row>
    <row r="57" spans="3:3">
      <c r="C57" s="35"/>
    </row>
    <row r="58" spans="3:3">
      <c r="C58" s="35"/>
    </row>
    <row r="59" spans="3:3">
      <c r="C59" s="35"/>
    </row>
    <row r="60" spans="3:3">
      <c r="C60" s="35"/>
    </row>
    <row r="61" spans="3:3">
      <c r="C61" s="35"/>
    </row>
    <row r="62" spans="3:3">
      <c r="C62" s="35"/>
    </row>
    <row r="63" spans="3:3">
      <c r="C63" s="35"/>
    </row>
    <row r="64" spans="3:3">
      <c r="C64" s="35"/>
    </row>
    <row r="65" spans="3:3">
      <c r="C65" s="35"/>
    </row>
    <row r="66" spans="3:3">
      <c r="C66" s="35"/>
    </row>
    <row r="67" spans="3:3">
      <c r="C67" s="35"/>
    </row>
    <row r="68" spans="3:3">
      <c r="C68" s="35"/>
    </row>
    <row r="69" spans="3:3">
      <c r="C69" s="35"/>
    </row>
    <row r="70" spans="3:3">
      <c r="C70" s="35"/>
    </row>
    <row r="71" spans="3:3">
      <c r="C71" s="35"/>
    </row>
    <row r="72" spans="3:3">
      <c r="C72" s="35"/>
    </row>
    <row r="73" spans="3:3">
      <c r="C73" s="35"/>
    </row>
    <row r="74" spans="3:3">
      <c r="C74" s="35"/>
    </row>
    <row r="75" spans="3:3">
      <c r="C75" s="35"/>
    </row>
    <row r="76" spans="3:3">
      <c r="C76" s="35"/>
    </row>
    <row r="77" spans="3:3">
      <c r="C77" s="35"/>
    </row>
    <row r="78" spans="3:3">
      <c r="C78" s="35"/>
    </row>
    <row r="79" spans="3:3">
      <c r="C79" s="24"/>
    </row>
    <row r="80" spans="3:3">
      <c r="C80" s="24"/>
    </row>
    <row r="81" spans="3:3">
      <c r="C81" s="24"/>
    </row>
    <row r="82" spans="3:3">
      <c r="C82" s="24"/>
    </row>
    <row r="83" spans="3:3">
      <c r="C83" s="24"/>
    </row>
    <row r="84" spans="3:3">
      <c r="C84" s="24"/>
    </row>
    <row r="85" spans="3:3">
      <c r="C85" s="24"/>
    </row>
    <row r="86" spans="3:3">
      <c r="C86" s="24"/>
    </row>
    <row r="87" spans="3:3">
      <c r="C87" s="24"/>
    </row>
    <row r="88" spans="3:3">
      <c r="C88" s="24"/>
    </row>
    <row r="89" spans="3:3">
      <c r="C89" s="24"/>
    </row>
    <row r="90" spans="3:3">
      <c r="C90" s="24"/>
    </row>
    <row r="91" spans="3:3">
      <c r="C91" s="24"/>
    </row>
    <row r="92" spans="3:3">
      <c r="C92" s="24"/>
    </row>
    <row r="93" spans="3:3">
      <c r="C93" s="24"/>
    </row>
    <row r="94" spans="3:3">
      <c r="C94" s="24"/>
    </row>
    <row r="95" spans="3:3">
      <c r="C95" s="24"/>
    </row>
    <row r="96" spans="3:3">
      <c r="C96" s="24"/>
    </row>
    <row r="97" spans="3:3">
      <c r="C97" s="24"/>
    </row>
    <row r="98" spans="3:3">
      <c r="C98" s="24"/>
    </row>
    <row r="99" spans="3:3">
      <c r="C99" s="24"/>
    </row>
    <row r="100" spans="3:3">
      <c r="C100" s="24"/>
    </row>
    <row r="101" spans="3:3">
      <c r="C101" s="24"/>
    </row>
    <row r="102" spans="3:3">
      <c r="C102" s="24"/>
    </row>
    <row r="103" spans="3:3">
      <c r="C103" s="24"/>
    </row>
    <row r="104" spans="3:3">
      <c r="C104" s="24"/>
    </row>
    <row r="105" spans="3:3">
      <c r="C105" s="24"/>
    </row>
    <row r="106" spans="3:3">
      <c r="C106" s="24"/>
    </row>
    <row r="107" spans="3:3">
      <c r="C107" s="24"/>
    </row>
    <row r="108" spans="3:3">
      <c r="C108" s="24"/>
    </row>
    <row r="109" spans="3:3">
      <c r="C109" s="24"/>
    </row>
    <row r="110" spans="3:3">
      <c r="C110" s="24"/>
    </row>
    <row r="111" spans="3:3">
      <c r="C111" s="24"/>
    </row>
    <row r="112" spans="3:3">
      <c r="C112" s="24"/>
    </row>
    <row r="113" spans="3:3">
      <c r="C113" s="24"/>
    </row>
    <row r="114" spans="3:3">
      <c r="C114" s="24"/>
    </row>
    <row r="115" spans="3:3">
      <c r="C115" s="24"/>
    </row>
    <row r="116" spans="3:3">
      <c r="C116" s="24"/>
    </row>
    <row r="117" spans="3:3">
      <c r="C117" s="24"/>
    </row>
    <row r="118" spans="3:3">
      <c r="C118" s="24"/>
    </row>
    <row r="119" spans="3:3">
      <c r="C119" s="24"/>
    </row>
    <row r="120" spans="3:3">
      <c r="C120" s="24"/>
    </row>
    <row r="121" spans="3:3">
      <c r="C121" s="24"/>
    </row>
    <row r="122" spans="3:3">
      <c r="C122" s="24"/>
    </row>
    <row r="123" spans="3:3">
      <c r="C123" s="24"/>
    </row>
    <row r="124" spans="3:3">
      <c r="C124" s="24"/>
    </row>
    <row r="125" spans="3:3">
      <c r="C125" s="24"/>
    </row>
    <row r="126" spans="3:3">
      <c r="C126" s="24"/>
    </row>
    <row r="127" spans="3:3">
      <c r="C127" s="24"/>
    </row>
    <row r="128" spans="3:3">
      <c r="C128" s="24"/>
    </row>
    <row r="129" spans="3:3">
      <c r="C129" s="24"/>
    </row>
    <row r="130" spans="3:3">
      <c r="C130" s="24"/>
    </row>
    <row r="131" spans="3:3">
      <c r="C131" s="24"/>
    </row>
    <row r="132" spans="3:3">
      <c r="C132" s="24"/>
    </row>
    <row r="133" spans="3:3">
      <c r="C133" s="24"/>
    </row>
    <row r="134" spans="3:3">
      <c r="C134" s="24"/>
    </row>
    <row r="135" spans="3:3">
      <c r="C135" s="24"/>
    </row>
    <row r="136" spans="3:3">
      <c r="C136" s="24"/>
    </row>
    <row r="137" spans="3:3">
      <c r="C137" s="24"/>
    </row>
    <row r="138" spans="3:3">
      <c r="C138" s="24"/>
    </row>
    <row r="139" spans="3:3">
      <c r="C139" s="24"/>
    </row>
    <row r="140" spans="3:3">
      <c r="C140" s="24"/>
    </row>
    <row r="141" spans="3:3">
      <c r="C141" s="24"/>
    </row>
    <row r="142" spans="3:3">
      <c r="C142" s="24"/>
    </row>
    <row r="143" spans="3:3">
      <c r="C143" s="24"/>
    </row>
    <row r="144" spans="3:3">
      <c r="C144" s="24"/>
    </row>
    <row r="145" spans="3:3">
      <c r="C145" s="24"/>
    </row>
    <row r="146" spans="3:3">
      <c r="C146" s="24"/>
    </row>
    <row r="147" spans="3:3">
      <c r="C147" s="24"/>
    </row>
    <row r="148" spans="3:3">
      <c r="C148" s="24"/>
    </row>
    <row r="149" spans="3:3">
      <c r="C149" s="24"/>
    </row>
    <row r="150" spans="3:3">
      <c r="C150" s="24"/>
    </row>
    <row r="151" spans="3:3">
      <c r="C151" s="24"/>
    </row>
    <row r="152" spans="3:3">
      <c r="C152" s="24"/>
    </row>
    <row r="153" spans="3:3">
      <c r="C153" s="24"/>
    </row>
    <row r="154" spans="3:3">
      <c r="C154" s="24"/>
    </row>
    <row r="155" spans="3:3">
      <c r="C155" s="24"/>
    </row>
    <row r="156" spans="3:3">
      <c r="C156" s="24"/>
    </row>
    <row r="157" spans="3:3">
      <c r="C157" s="24"/>
    </row>
    <row r="158" spans="3:3">
      <c r="C158" s="24"/>
    </row>
    <row r="159" spans="3:3">
      <c r="C159" s="24"/>
    </row>
    <row r="160" spans="3:3">
      <c r="C160" s="24"/>
    </row>
    <row r="161" spans="1:3">
      <c r="A161" s="24">
        <f>'Project Builder'!E95</f>
        <v>0</v>
      </c>
      <c r="C161" s="24">
        <f>'Project Builder'!F95</f>
        <v>0</v>
      </c>
    </row>
    <row r="162" spans="1:3">
      <c r="A162" s="24">
        <f>'Project Builder'!E96</f>
        <v>0</v>
      </c>
      <c r="C162" s="24">
        <f>'Project Builder'!F96</f>
        <v>0</v>
      </c>
    </row>
    <row r="163" spans="1:3">
      <c r="A163" s="24">
        <f>'Project Builder'!E97</f>
        <v>0</v>
      </c>
      <c r="C163" s="24">
        <f>'Project Builder'!F97</f>
        <v>0</v>
      </c>
    </row>
    <row r="164" spans="1:3">
      <c r="A164" s="24">
        <f>'Project Builder'!E98</f>
        <v>0</v>
      </c>
      <c r="C164" s="24">
        <f>'Project Builder'!F98</f>
        <v>0</v>
      </c>
    </row>
    <row r="165" spans="1:3">
      <c r="A165" s="24">
        <f>'Project Builder'!E99</f>
        <v>0</v>
      </c>
      <c r="C165" s="24">
        <f>'Project Builder'!F99</f>
        <v>0</v>
      </c>
    </row>
    <row r="166" spans="1:3">
      <c r="A166" s="24">
        <f>'Project Builder'!E100</f>
        <v>0</v>
      </c>
      <c r="C166" s="24">
        <f>'Project Builder'!F100</f>
        <v>0</v>
      </c>
    </row>
    <row r="167" spans="1:3">
      <c r="A167" s="24">
        <f>'Project Builder'!E101</f>
        <v>0</v>
      </c>
      <c r="C167" s="24">
        <f>'Project Builder'!F101</f>
        <v>0</v>
      </c>
    </row>
    <row r="168" spans="1:3">
      <c r="A168" s="24">
        <f>'Project Builder'!E102</f>
        <v>0</v>
      </c>
      <c r="C168" s="24">
        <f>'Project Builder'!F102</f>
        <v>0</v>
      </c>
    </row>
    <row r="169" spans="1:3">
      <c r="A169" s="24">
        <f>'Project Builder'!E103</f>
        <v>0</v>
      </c>
      <c r="C169" s="24">
        <f>'Project Builder'!F103</f>
        <v>0</v>
      </c>
    </row>
    <row r="170" spans="1:3">
      <c r="A170" s="24">
        <f>'Project Builder'!E104</f>
        <v>0</v>
      </c>
      <c r="C170" s="24">
        <f>'Project Builder'!F104</f>
        <v>0</v>
      </c>
    </row>
  </sheetData>
  <dataConsolidate>
    <dataRefs count="1">
      <dataRef ref="B3:C9" sheet="Jobsite Material List"/>
    </dataRefs>
  </dataConsolidate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 Builder</vt:lpstr>
      <vt:lpstr>Jobsite Material List</vt:lpstr>
      <vt:lpstr>Order List</vt:lpstr>
      <vt:lpstr>Income and Expense</vt:lpstr>
      <vt:lpstr>Other $</vt:lpstr>
      <vt:lpstr>Product $</vt:lpstr>
      <vt:lpstr>MASSA $</vt:lpstr>
      <vt:lpstr>Order List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 Plocher</dc:creator>
  <cp:lastModifiedBy>John  Plocher</cp:lastModifiedBy>
  <dcterms:created xsi:type="dcterms:W3CDTF">2025-02-20T03:21:00Z</dcterms:created>
  <dcterms:modified xsi:type="dcterms:W3CDTF">2025-12-20T15:14:53Z</dcterms:modified>
</cp:coreProperties>
</file>